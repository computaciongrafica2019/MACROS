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bas\Documents\"/>
    </mc:Choice>
  </mc:AlternateContent>
  <xr:revisionPtr revIDLastSave="0" documentId="8_{8D60EF1B-CC95-4F58-8162-44EA2EFF2901}" xr6:coauthVersionLast="43" xr6:coauthVersionMax="43" xr10:uidLastSave="{00000000-0000-0000-0000-000000000000}"/>
  <bookViews>
    <workbookView xWindow="-120" yWindow="-120" windowWidth="20730" windowHeight="11160" xr2:uid="{B2211C88-D6F0-4565-8651-20374FBCDE28}"/>
  </bookViews>
  <sheets>
    <sheet name="Hoja3" sheetId="3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287" i="3" l="1"/>
  <c r="A3280" i="3"/>
  <c r="A3279" i="3"/>
  <c r="A3278" i="3"/>
  <c r="A3277" i="3"/>
  <c r="A3276" i="3"/>
  <c r="A3275" i="3"/>
  <c r="A3274" i="3"/>
  <c r="A3273" i="3"/>
  <c r="A3272" i="3"/>
  <c r="A3271" i="3"/>
  <c r="A3254" i="3"/>
  <c r="A3253" i="3"/>
  <c r="A3252" i="3"/>
  <c r="A3251" i="3"/>
  <c r="A3250" i="3"/>
  <c r="A3249" i="3"/>
  <c r="A3248" i="3"/>
  <c r="A3247" i="3"/>
  <c r="A3246" i="3"/>
  <c r="A3245" i="3"/>
  <c r="A3244" i="3"/>
  <c r="A3243" i="3"/>
  <c r="A3242" i="3"/>
  <c r="A3241" i="3"/>
  <c r="A3240" i="3"/>
  <c r="A3239" i="3"/>
  <c r="A3238" i="3"/>
  <c r="A3237" i="3"/>
  <c r="A3236" i="3"/>
  <c r="A3219" i="3"/>
  <c r="A3218" i="3"/>
  <c r="A3217" i="3"/>
  <c r="A3216" i="3"/>
  <c r="A3207" i="3"/>
  <c r="A3206" i="3"/>
  <c r="A3205" i="3"/>
  <c r="A3204" i="3"/>
  <c r="A3203" i="3"/>
  <c r="A3202" i="3"/>
  <c r="A3184" i="3"/>
  <c r="A3183" i="3"/>
  <c r="A3182" i="3"/>
  <c r="A3172" i="3"/>
  <c r="A3171" i="3"/>
  <c r="A3170" i="3"/>
  <c r="A3169" i="3"/>
  <c r="A3158" i="3"/>
  <c r="A3157" i="3"/>
  <c r="A3156" i="3"/>
  <c r="A3155" i="3"/>
  <c r="A3154" i="3"/>
  <c r="A3153" i="3"/>
  <c r="A3152" i="3"/>
  <c r="A3151" i="3"/>
  <c r="A3150" i="3"/>
  <c r="A3149" i="3"/>
  <c r="A3148" i="3"/>
  <c r="A3131" i="3"/>
  <c r="A3130" i="3"/>
  <c r="A3129" i="3"/>
  <c r="A3119" i="3"/>
  <c r="A3118" i="3"/>
  <c r="A3117" i="3"/>
  <c r="A3116" i="3"/>
  <c r="A3102" i="3"/>
  <c r="A3101" i="3"/>
  <c r="A3100" i="3"/>
  <c r="A3099" i="3"/>
  <c r="A3098" i="3"/>
  <c r="A3097" i="3"/>
  <c r="A3096" i="3"/>
  <c r="A3095" i="3"/>
  <c r="A3094" i="3"/>
  <c r="A3093" i="3"/>
  <c r="A3092" i="3"/>
  <c r="A3091" i="3"/>
  <c r="A3090" i="3"/>
  <c r="A3089" i="3"/>
  <c r="A3088" i="3"/>
  <c r="A3087" i="3"/>
  <c r="A3086" i="3"/>
  <c r="A3085" i="3"/>
  <c r="A3067" i="3"/>
  <c r="A3066" i="3"/>
  <c r="A3054" i="3"/>
  <c r="A3053" i="3"/>
  <c r="A3052" i="3"/>
  <c r="A3037" i="3"/>
  <c r="A3036" i="3"/>
  <c r="A3035" i="3"/>
  <c r="A3034" i="3"/>
  <c r="A3033" i="3"/>
  <c r="A3032" i="3"/>
  <c r="A3031" i="3"/>
  <c r="A3030" i="3"/>
  <c r="A3029" i="3"/>
  <c r="A3028" i="3"/>
  <c r="A3027" i="3"/>
  <c r="A3026" i="3"/>
  <c r="A3025" i="3"/>
  <c r="A3024" i="3"/>
  <c r="A3023" i="3"/>
  <c r="A3022" i="3"/>
  <c r="A3021" i="3"/>
  <c r="A3020" i="3"/>
  <c r="A3003" i="3"/>
  <c r="A3002" i="3"/>
  <c r="A2990" i="3"/>
  <c r="A2989" i="3"/>
  <c r="A2988" i="3"/>
  <c r="A2971" i="3"/>
  <c r="A2970" i="3"/>
  <c r="A2969" i="3"/>
  <c r="A2968" i="3"/>
  <c r="A2967" i="3"/>
  <c r="A2966" i="3"/>
  <c r="A2965" i="3"/>
  <c r="A2963" i="3"/>
  <c r="A2962" i="3"/>
  <c r="A2961" i="3"/>
  <c r="A2960" i="3"/>
  <c r="A2959" i="3"/>
  <c r="A2958" i="3"/>
  <c r="A2957" i="3"/>
  <c r="A2956" i="3"/>
  <c r="A2955" i="3"/>
  <c r="A2954" i="3"/>
  <c r="A2953" i="3"/>
  <c r="A2936" i="3"/>
  <c r="A2935" i="3"/>
  <c r="A2923" i="3"/>
  <c r="A2922" i="3"/>
  <c r="A2921" i="3"/>
  <c r="A2920" i="3"/>
  <c r="A2904" i="3"/>
  <c r="A2903" i="3"/>
  <c r="A2902" i="3"/>
  <c r="A2901" i="3"/>
  <c r="A2900" i="3"/>
  <c r="A2899" i="3"/>
  <c r="A2895" i="3"/>
  <c r="A2894" i="3"/>
  <c r="A2893" i="3"/>
  <c r="A2892" i="3"/>
  <c r="A2891" i="3"/>
  <c r="A2864" i="3"/>
  <c r="A2546" i="3"/>
  <c r="A2518" i="3"/>
  <c r="A2375" i="3"/>
  <c r="A2212" i="3"/>
  <c r="A2046" i="3"/>
  <c r="A1881" i="3"/>
  <c r="A1716" i="3"/>
  <c r="A1550" i="3"/>
  <c r="A1381" i="3"/>
  <c r="A1210" i="3"/>
  <c r="A1043" i="3"/>
  <c r="A875" i="3"/>
  <c r="A874" i="3"/>
  <c r="A708" i="3"/>
  <c r="A707" i="3"/>
  <c r="A519" i="3"/>
  <c r="A3084" i="3"/>
  <c r="A3201" i="3"/>
  <c r="B3283" i="3"/>
  <c r="B3282" i="3"/>
  <c r="B3281" i="3"/>
  <c r="B3280" i="3"/>
  <c r="B3279" i="3"/>
  <c r="B3278" i="3"/>
  <c r="B3277" i="3"/>
  <c r="B3262" i="3"/>
  <c r="B3261" i="3"/>
  <c r="B3260" i="3"/>
  <c r="B3259" i="3"/>
  <c r="B3258" i="3"/>
  <c r="B3257" i="3"/>
  <c r="B3256" i="3"/>
  <c r="B3255" i="3"/>
  <c r="B3254" i="3"/>
  <c r="B3253" i="3"/>
  <c r="B3252" i="3"/>
  <c r="B3251" i="3"/>
  <c r="B3250" i="3"/>
  <c r="B3249" i="3"/>
  <c r="B3248" i="3"/>
  <c r="B3247" i="3"/>
  <c r="B3227" i="3"/>
  <c r="B3226" i="3"/>
  <c r="B3225" i="3"/>
  <c r="B3224" i="3"/>
  <c r="B3216" i="3"/>
  <c r="B3215" i="3"/>
  <c r="B3214" i="3"/>
  <c r="B3213" i="3"/>
  <c r="B3212" i="3"/>
  <c r="B3193" i="3"/>
  <c r="B3192" i="3"/>
  <c r="B3191" i="3"/>
  <c r="B3190" i="3"/>
  <c r="B3180" i="3"/>
  <c r="B3179" i="3"/>
  <c r="B3178" i="3"/>
  <c r="B3177" i="3"/>
  <c r="B3164" i="3"/>
  <c r="B3163" i="3"/>
  <c r="B3162" i="3"/>
  <c r="B3161" i="3"/>
  <c r="B3160" i="3"/>
  <c r="B3159" i="3"/>
  <c r="B3158" i="3"/>
  <c r="B3157" i="3"/>
  <c r="B3156" i="3"/>
  <c r="B3155" i="3"/>
  <c r="B3139" i="3"/>
  <c r="B3138" i="3"/>
  <c r="B3126" i="3"/>
  <c r="B3125" i="3"/>
  <c r="B3124" i="3"/>
  <c r="B3108" i="3"/>
  <c r="B3107" i="3"/>
  <c r="B3106" i="3"/>
  <c r="B3105" i="3"/>
  <c r="B3104" i="3"/>
  <c r="B3103" i="3"/>
  <c r="B3102" i="3"/>
  <c r="B3101" i="3"/>
  <c r="B3100" i="3"/>
  <c r="B3099" i="3"/>
  <c r="B3098" i="3"/>
  <c r="B3097" i="3"/>
  <c r="B3096" i="3"/>
  <c r="B3095" i="3"/>
  <c r="B3076" i="3"/>
  <c r="B3075" i="3"/>
  <c r="B3074" i="3"/>
  <c r="B3062" i="3"/>
  <c r="B3061" i="3"/>
  <c r="B3060" i="3"/>
  <c r="B3045" i="3"/>
  <c r="B3044" i="3"/>
  <c r="B3043" i="3"/>
  <c r="B3042" i="3"/>
  <c r="B3041" i="3"/>
  <c r="B3040" i="3"/>
  <c r="B3039" i="3"/>
  <c r="B3038" i="3"/>
  <c r="B3037" i="3"/>
  <c r="B3036" i="3"/>
  <c r="B3035" i="3"/>
  <c r="B3034" i="3"/>
  <c r="B3033" i="3"/>
  <c r="B3032" i="3"/>
  <c r="B3031" i="3"/>
  <c r="B3030" i="3"/>
  <c r="B3011" i="3"/>
  <c r="B3010" i="3"/>
  <c r="B2998" i="3"/>
  <c r="B2997" i="3"/>
  <c r="B2996" i="3"/>
  <c r="B2979" i="3"/>
  <c r="B2978" i="3"/>
  <c r="B2977" i="3"/>
  <c r="B2976" i="3"/>
  <c r="B2975" i="3"/>
  <c r="B2974" i="3"/>
  <c r="B2973" i="3"/>
  <c r="B2971" i="3"/>
  <c r="B2970" i="3"/>
  <c r="B2969" i="3"/>
  <c r="B2968" i="3"/>
  <c r="B2967" i="3"/>
  <c r="B2966" i="3"/>
  <c r="B2965" i="3"/>
  <c r="B2964" i="3"/>
  <c r="B2944" i="3"/>
  <c r="B2943" i="3"/>
  <c r="B2931" i="3"/>
  <c r="B2930" i="3"/>
  <c r="B2929" i="3"/>
  <c r="B2912" i="3"/>
  <c r="B2911" i="3"/>
  <c r="B2910" i="3"/>
  <c r="B2909" i="3"/>
  <c r="B2908" i="3"/>
  <c r="B2907" i="3"/>
  <c r="B2903" i="3"/>
  <c r="B2902" i="3"/>
  <c r="B2901" i="3"/>
  <c r="B2900" i="3"/>
  <c r="B2899" i="3"/>
  <c r="B2898" i="3"/>
  <c r="B2897" i="3"/>
  <c r="B2832" i="3"/>
  <c r="B2790" i="3"/>
  <c r="B2748" i="3"/>
  <c r="B2714" i="3"/>
  <c r="B2690" i="3"/>
  <c r="B2663" i="3"/>
  <c r="B2662" i="3"/>
  <c r="B2621" i="3"/>
  <c r="B2620" i="3"/>
  <c r="B2579" i="3"/>
  <c r="B2578" i="3"/>
  <c r="B2547" i="3"/>
  <c r="B2519" i="3"/>
  <c r="B2487" i="3"/>
  <c r="B2486" i="3"/>
  <c r="B2443" i="3"/>
  <c r="B2442" i="3"/>
  <c r="B2401" i="3"/>
  <c r="B2400" i="3"/>
  <c r="B2356" i="3"/>
  <c r="B2355" i="3"/>
  <c r="B2323" i="3"/>
  <c r="B2322" i="3"/>
  <c r="B2280" i="3"/>
  <c r="B2279" i="3"/>
  <c r="B2238" i="3"/>
  <c r="B2237" i="3"/>
  <c r="B2193" i="3"/>
  <c r="B2192" i="3"/>
  <c r="B2160" i="3"/>
  <c r="B2159" i="3"/>
  <c r="B2116" i="3"/>
  <c r="B2115" i="3"/>
  <c r="B2072" i="3"/>
  <c r="B2071" i="3"/>
  <c r="B2026" i="3"/>
  <c r="B2025" i="3"/>
  <c r="B1993" i="3"/>
  <c r="B1992" i="3"/>
  <c r="B1950" i="3"/>
  <c r="B1949" i="3"/>
  <c r="B1907" i="3"/>
  <c r="B1906" i="3"/>
  <c r="B1861" i="3"/>
  <c r="B1860" i="3"/>
  <c r="B1828" i="3"/>
  <c r="B1827" i="3"/>
  <c r="B1785" i="3"/>
  <c r="B1784" i="3"/>
  <c r="B1742" i="3"/>
  <c r="B1741" i="3"/>
  <c r="B1696" i="3"/>
  <c r="B1695" i="3"/>
  <c r="B1663" i="3"/>
  <c r="B1662" i="3"/>
  <c r="B1620" i="3"/>
  <c r="B1619" i="3"/>
  <c r="B1577" i="3"/>
  <c r="B1576" i="3"/>
  <c r="B1530" i="3"/>
  <c r="B1529" i="3"/>
  <c r="B1496" i="3"/>
  <c r="B1495" i="3"/>
  <c r="B1452" i="3"/>
  <c r="B1451" i="3"/>
  <c r="B1408" i="3"/>
  <c r="B1407" i="3"/>
  <c r="B1362" i="3"/>
  <c r="B1361" i="3"/>
  <c r="B1328" i="3"/>
  <c r="B1327" i="3"/>
  <c r="B1283" i="3"/>
  <c r="B1282" i="3"/>
  <c r="B1238" i="3"/>
  <c r="B1237" i="3"/>
  <c r="B1190" i="3"/>
  <c r="B1189" i="3"/>
  <c r="B1157" i="3"/>
  <c r="B1156" i="3"/>
  <c r="B1113" i="3"/>
  <c r="B1112" i="3"/>
  <c r="B1070" i="3"/>
  <c r="B1069" i="3"/>
  <c r="B1023" i="3"/>
  <c r="B1022" i="3"/>
  <c r="B990" i="3"/>
  <c r="B989" i="3"/>
  <c r="B946" i="3"/>
  <c r="B945" i="3"/>
  <c r="B902" i="3"/>
  <c r="B901" i="3"/>
  <c r="B856" i="3"/>
  <c r="B855" i="3"/>
  <c r="B822" i="3"/>
  <c r="B821" i="3"/>
  <c r="B778" i="3"/>
  <c r="B777" i="3"/>
  <c r="B735" i="3"/>
  <c r="B734" i="3"/>
  <c r="B688" i="3"/>
  <c r="B687" i="3"/>
  <c r="B655" i="3"/>
  <c r="B654" i="3"/>
  <c r="B612" i="3"/>
  <c r="B611" i="3"/>
  <c r="B569" i="3"/>
  <c r="B568" i="3"/>
  <c r="B487" i="3"/>
  <c r="B486" i="3"/>
  <c r="B444" i="3"/>
  <c r="B443" i="3"/>
  <c r="B401" i="3"/>
  <c r="B400" i="3"/>
  <c r="B366" i="3"/>
  <c r="B342" i="3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3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</futureMetadata>
  <valueMetadata count="132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</valueMetadata>
</metadata>
</file>

<file path=xl/sharedStrings.xml><?xml version="1.0" encoding="utf-8"?>
<sst xmlns="http://schemas.openxmlformats.org/spreadsheetml/2006/main" count="435" uniqueCount="179">
  <si>
    <t>0.000</t>
  </si>
  <si>
    <t>0.350</t>
  </si>
  <si>
    <t>0.579</t>
  </si>
  <si>
    <t>0.654</t>
  </si>
  <si>
    <t>0.549</t>
  </si>
  <si>
    <t>0.875</t>
  </si>
  <si>
    <t>0.993</t>
  </si>
  <si>
    <t>0.286</t>
  </si>
  <si>
    <t>0.923</t>
  </si>
  <si>
    <t>0.987</t>
  </si>
  <si>
    <t>0.773</t>
  </si>
  <si>
    <t>0.992</t>
  </si>
  <si>
    <t>0.745</t>
  </si>
  <si>
    <t>0.248</t>
  </si>
  <si>
    <t>0.293</t>
  </si>
  <si>
    <t>0.878</t>
  </si>
  <si>
    <t>0.655</t>
  </si>
  <si>
    <t>0.328</t>
  </si>
  <si>
    <t>0.982</t>
  </si>
  <si>
    <t>0.085</t>
  </si>
  <si>
    <t>0.707</t>
  </si>
  <si>
    <t>0.715</t>
  </si>
  <si>
    <t>0.495</t>
  </si>
  <si>
    <t>0.881</t>
  </si>
  <si>
    <t>0.151</t>
  </si>
  <si>
    <t>0.089</t>
  </si>
  <si>
    <t>0.026</t>
  </si>
  <si>
    <t>0.494</t>
  </si>
  <si>
    <t>0.049</t>
  </si>
  <si>
    <t>0.584</t>
  </si>
  <si>
    <t>0.068</t>
  </si>
  <si>
    <t>0.015</t>
  </si>
  <si>
    <t>0.973</t>
  </si>
  <si>
    <t>0.602</t>
  </si>
  <si>
    <t>0.212</t>
  </si>
  <si>
    <t>0.045</t>
  </si>
  <si>
    <t>0.749</t>
  </si>
  <si>
    <t>0.069</t>
  </si>
  <si>
    <t>0.088</t>
  </si>
  <si>
    <t>0.972</t>
  </si>
  <si>
    <t>0.065</t>
  </si>
  <si>
    <t>0.493</t>
  </si>
  <si>
    <t>0.583</t>
  </si>
  <si>
    <t>0.109</t>
  </si>
  <si>
    <t>0.084</t>
  </si>
  <si>
    <t>0.492</t>
  </si>
  <si>
    <t>0.129</t>
  </si>
  <si>
    <t>0.778</t>
  </si>
  <si>
    <t>0.103</t>
  </si>
  <si>
    <t>0.752</t>
  </si>
  <si>
    <t>0.582</t>
  </si>
  <si>
    <t>0.149</t>
  </si>
  <si>
    <t>0.983</t>
  </si>
  <si>
    <t>0.123</t>
  </si>
  <si>
    <t>0.489</t>
  </si>
  <si>
    <t>0.753</t>
  </si>
  <si>
    <t>0.882</t>
  </si>
  <si>
    <t>0.169</t>
  </si>
  <si>
    <t>0.096</t>
  </si>
  <si>
    <t>0.491</t>
  </si>
  <si>
    <t>0.121</t>
  </si>
  <si>
    <t>0.141</t>
  </si>
  <si>
    <t>0.161</t>
  </si>
  <si>
    <t>0.188</t>
  </si>
  <si>
    <t>0.229</t>
  </si>
  <si>
    <t>0.208</t>
  </si>
  <si>
    <t>0.653</t>
  </si>
  <si>
    <t>0.228</t>
  </si>
  <si>
    <t>0.198</t>
  </si>
  <si>
    <t>0.225</t>
  </si>
  <si>
    <t>0.578</t>
  </si>
  <si>
    <t>0.281</t>
  </si>
  <si>
    <t>0.324</t>
  </si>
  <si>
    <t>0.409</t>
  </si>
  <si>
    <t>0.227</t>
  </si>
  <si>
    <t>0.217</t>
  </si>
  <si>
    <t>0.247</t>
  </si>
  <si>
    <t>0.271</t>
  </si>
  <si>
    <t>0.226</t>
  </si>
  <si>
    <t>0.235</t>
  </si>
  <si>
    <t>0.266</t>
  </si>
  <si>
    <t>0.291</t>
  </si>
  <si>
    <t>0.652</t>
  </si>
  <si>
    <t>0.412</t>
  </si>
  <si>
    <t>0.443</t>
  </si>
  <si>
    <t>0.438</t>
  </si>
  <si>
    <t>0.253</t>
  </si>
  <si>
    <t>0.311</t>
  </si>
  <si>
    <t>0.157</t>
  </si>
  <si>
    <t>0.086</t>
  </si>
  <si>
    <t>0.864</t>
  </si>
  <si>
    <t>0.722</t>
  </si>
  <si>
    <t>0.354</t>
  </si>
  <si>
    <t>0.144</t>
  </si>
  <si>
    <t>0.199</t>
  </si>
  <si>
    <t>0.421</t>
  </si>
  <si>
    <t>0.904</t>
  </si>
  <si>
    <t>0.997</t>
  </si>
  <si>
    <t>0.696</t>
  </si>
  <si>
    <t>0.283</t>
  </si>
  <si>
    <t>0.112</t>
  </si>
  <si>
    <t>0.418</t>
  </si>
  <si>
    <t>0.828</t>
  </si>
  <si>
    <t>0.336</t>
  </si>
  <si>
    <t>0.136</t>
  </si>
  <si>
    <t>0.194</t>
  </si>
  <si>
    <t>0.399</t>
  </si>
  <si>
    <t>0.733</t>
  </si>
  <si>
    <t>0.856</t>
  </si>
  <si>
    <t>0.944</t>
  </si>
  <si>
    <t>0.965</t>
  </si>
  <si>
    <t>0.531</t>
  </si>
  <si>
    <t>0.678</t>
  </si>
  <si>
    <t>0.276</t>
  </si>
  <si>
    <t>0.076</t>
  </si>
  <si>
    <t>0.806</t>
  </si>
  <si>
    <t>0.889</t>
  </si>
  <si>
    <t>0.833</t>
  </si>
  <si>
    <t>0.524</t>
  </si>
  <si>
    <t>0.362</t>
  </si>
  <si>
    <t>0.185</t>
  </si>
  <si>
    <t>0.019</t>
  </si>
  <si>
    <t>0.178</t>
  </si>
  <si>
    <t>0.682</t>
  </si>
  <si>
    <t>0.908</t>
  </si>
  <si>
    <t>0.768</t>
  </si>
  <si>
    <t>0.392</t>
  </si>
  <si>
    <t>0.774</t>
  </si>
  <si>
    <t>0.724</t>
  </si>
  <si>
    <t>0.657</t>
  </si>
  <si>
    <t>0.562</t>
  </si>
  <si>
    <t>0.306</t>
  </si>
  <si>
    <t>0.705</t>
  </si>
  <si>
    <t>0.066</t>
  </si>
  <si>
    <t>0.713</t>
  </si>
  <si>
    <t>0.364</t>
  </si>
  <si>
    <t>0.037</t>
  </si>
  <si>
    <t>0.117</t>
  </si>
  <si>
    <t>0.012</t>
  </si>
  <si>
    <t>0.559</t>
  </si>
  <si>
    <t>0.575</t>
  </si>
  <si>
    <t>0.539</t>
  </si>
  <si>
    <t>0.636</t>
  </si>
  <si>
    <t>0.325</t>
  </si>
  <si>
    <t>0.044</t>
  </si>
  <si>
    <t>0.323</t>
  </si>
  <si>
    <t>0.854</t>
  </si>
  <si>
    <t>0.446</t>
  </si>
  <si>
    <t>0.181</t>
  </si>
  <si>
    <t>0.073</t>
  </si>
  <si>
    <t>0.319</t>
  </si>
  <si>
    <t>0.379</t>
  </si>
  <si>
    <t>0.813</t>
  </si>
  <si>
    <t>0.897</t>
  </si>
  <si>
    <t>0.943</t>
  </si>
  <si>
    <t>0.252</t>
  </si>
  <si>
    <t>0.88</t>
  </si>
  <si>
    <t>0.97</t>
  </si>
  <si>
    <t>0.49</t>
  </si>
  <si>
    <t>0.58</t>
  </si>
  <si>
    <t>0.21</t>
  </si>
  <si>
    <t>0.18</t>
  </si>
  <si>
    <t>0.23</t>
  </si>
  <si>
    <t>0.25</t>
  </si>
  <si>
    <t>0.61</t>
  </si>
  <si>
    <t>0.55</t>
  </si>
  <si>
    <t>0.04</t>
  </si>
  <si>
    <t>0.89</t>
  </si>
  <si>
    <t>0.05</t>
  </si>
  <si>
    <t>0.39</t>
  </si>
  <si>
    <t>0.42</t>
  </si>
  <si>
    <t>0.92</t>
  </si>
  <si>
    <t>0.53</t>
  </si>
  <si>
    <t>0.19</t>
  </si>
  <si>
    <t>0.95</t>
  </si>
  <si>
    <t>0.65</t>
  </si>
  <si>
    <t>0.13</t>
  </si>
  <si>
    <t>0.15</t>
  </si>
  <si>
    <t>0.28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</si>
</sst>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Types" Target="richData/rdRichValueTypes.xml"/><Relationship Id="rId3" Type="http://schemas.openxmlformats.org/officeDocument/2006/relationships/styles" Target="styles.xml"/><Relationship Id="rId7" Type="http://schemas.microsoft.com/office/2017/06/relationships/rdRichValueStructure" Target="richData/rdrichvaluestructur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06/relationships/rdRichValue" Target="richData/rdrichvalue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Plano XZ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Hoja3!$A:$A</c:f>
              <c:strCache>
                <c:ptCount val="3287"/>
                <c:pt idx="0">
                  <c:v>0</c:v>
                </c:pt>
                <c:pt idx="1">
                  <c:v>-4.511</c:v>
                </c:pt>
                <c:pt idx="2">
                  <c:v>-10.176</c:v>
                </c:pt>
                <c:pt idx="3">
                  <c:v>-12.428</c:v>
                </c:pt>
                <c:pt idx="4">
                  <c:v>-14.398</c:v>
                </c:pt>
                <c:pt idx="5">
                  <c:v>-15.848</c:v>
                </c:pt>
                <c:pt idx="6">
                  <c:v>-16.693</c:v>
                </c:pt>
                <c:pt idx="7">
                  <c:v>-16.624</c:v>
                </c:pt>
                <c:pt idx="8">
                  <c:v>-16.555</c:v>
                </c:pt>
                <c:pt idx="9">
                  <c:v>-16.121</c:v>
                </c:pt>
                <c:pt idx="10">
                  <c:v>-14.945</c:v>
                </c:pt>
                <c:pt idx="11">
                  <c:v>-13.168</c:v>
                </c:pt>
                <c:pt idx="12">
                  <c:v>-9.888</c:v>
                </c:pt>
                <c:pt idx="13">
                  <c:v>4.511</c:v>
                </c:pt>
                <c:pt idx="14">
                  <c:v>10.176</c:v>
                </c:pt>
                <c:pt idx="15">
                  <c:v>12.428</c:v>
                </c:pt>
                <c:pt idx="16">
                  <c:v>14.398</c:v>
                </c:pt>
                <c:pt idx="17">
                  <c:v>15.848</c:v>
                </c:pt>
                <c:pt idx="18">
                  <c:v>16.693</c:v>
                </c:pt>
                <c:pt idx="19">
                  <c:v>16.624</c:v>
                </c:pt>
                <c:pt idx="20">
                  <c:v>16.555</c:v>
                </c:pt>
                <c:pt idx="21">
                  <c:v>16.121</c:v>
                </c:pt>
                <c:pt idx="22">
                  <c:v>14.945</c:v>
                </c:pt>
                <c:pt idx="23">
                  <c:v>13.168</c:v>
                </c:pt>
                <c:pt idx="24">
                  <c:v>9.888</c:v>
                </c:pt>
                <c:pt idx="25">
                  <c:v>-4.391</c:v>
                </c:pt>
                <c:pt idx="26">
                  <c:v>-8.031</c:v>
                </c:pt>
                <c:pt idx="27">
                  <c:v>-7.974</c:v>
                </c:pt>
                <c:pt idx="28">
                  <c:v>-7.974</c:v>
                </c:pt>
                <c:pt idx="29">
                  <c:v>-7.915</c:v>
                </c:pt>
                <c:pt idx="30">
                  <c:v>-3.028</c:v>
                </c:pt>
                <c:pt idx="31">
                  <c:v>3.126</c:v>
                </c:pt>
                <c:pt idx="32">
                  <c:v>8.031</c:v>
                </c:pt>
                <c:pt idx="33">
                  <c:v>7.974</c:v>
                </c:pt>
                <c:pt idx="34">
                  <c:v>7.974</c:v>
                </c:pt>
                <c:pt idx="35">
                  <c:v>7.916</c:v>
                </c:pt>
                <c:pt idx="36">
                  <c:v>3.028</c:v>
                </c:pt>
                <c:pt idx="37">
                  <c:v>-3.126</c:v>
                </c:pt>
                <c:pt idx="38">
                  <c:v>-7.911</c:v>
                </c:pt>
                <c:pt idx="39">
                  <c:v>-7.396</c:v>
                </c:pt>
                <c:pt idx="40">
                  <c:v>-7.349</c:v>
                </c:pt>
                <c:pt idx="41">
                  <c:v>-7.349</c:v>
                </c:pt>
                <c:pt idx="42">
                  <c:v>-7.301</c:v>
                </c:pt>
                <c:pt idx="43">
                  <c:v>-3.033</c:v>
                </c:pt>
                <c:pt idx="44">
                  <c:v>3.121</c:v>
                </c:pt>
                <c:pt idx="45">
                  <c:v>7.396</c:v>
                </c:pt>
                <c:pt idx="46">
                  <c:v>7.349</c:v>
                </c:pt>
                <c:pt idx="47">
                  <c:v>7.349</c:v>
                </c:pt>
                <c:pt idx="48">
                  <c:v>7.302</c:v>
                </c:pt>
                <c:pt idx="49">
                  <c:v>3.033</c:v>
                </c:pt>
                <c:pt idx="50">
                  <c:v>-3.121</c:v>
                </c:pt>
                <c:pt idx="51">
                  <c:v>-7.276</c:v>
                </c:pt>
                <c:pt idx="52">
                  <c:v>-8.196</c:v>
                </c:pt>
                <c:pt idx="53">
                  <c:v>-9.077</c:v>
                </c:pt>
                <c:pt idx="54">
                  <c:v>-9.024</c:v>
                </c:pt>
                <c:pt idx="55">
                  <c:v>-9.024</c:v>
                </c:pt>
                <c:pt idx="56">
                  <c:v>-8.972</c:v>
                </c:pt>
                <c:pt idx="57">
                  <c:v>-4.339</c:v>
                </c:pt>
                <c:pt idx="58">
                  <c:v>4.461</c:v>
                </c:pt>
                <c:pt idx="59">
                  <c:v>9.077</c:v>
                </c:pt>
                <c:pt idx="60">
                  <c:v>9.024</c:v>
                </c:pt>
                <c:pt idx="61">
                  <c:v>9.024</c:v>
                </c:pt>
                <c:pt idx="62">
                  <c:v>8.972</c:v>
                </c:pt>
                <c:pt idx="63">
                  <c:v>4.339</c:v>
                </c:pt>
                <c:pt idx="64">
                  <c:v>-4.461</c:v>
                </c:pt>
                <c:pt idx="65">
                  <c:v>-8.957</c:v>
                </c:pt>
                <c:pt idx="66">
                  <c:v>-9.712</c:v>
                </c:pt>
                <c:pt idx="67">
                  <c:v>-9.649</c:v>
                </c:pt>
                <c:pt idx="68">
                  <c:v>-9.649</c:v>
                </c:pt>
                <c:pt idx="69">
                  <c:v>-9.586</c:v>
                </c:pt>
                <c:pt idx="70">
                  <c:v>-4.334</c:v>
                </c:pt>
                <c:pt idx="71">
                  <c:v>4.466</c:v>
                </c:pt>
                <c:pt idx="72">
                  <c:v>9.712</c:v>
                </c:pt>
                <c:pt idx="73">
                  <c:v>9.649</c:v>
                </c:pt>
                <c:pt idx="74">
                  <c:v>9.649</c:v>
                </c:pt>
                <c:pt idx="75">
                  <c:v>9.586</c:v>
                </c:pt>
                <c:pt idx="76">
                  <c:v>4.334</c:v>
                </c:pt>
                <c:pt idx="77">
                  <c:v>-4.466</c:v>
                </c:pt>
                <c:pt idx="78">
                  <c:v>-9.592</c:v>
                </c:pt>
                <c:pt idx="79">
                  <c:v>-9.303</c:v>
                </c:pt>
                <c:pt idx="80">
                  <c:v>-8.550</c:v>
                </c:pt>
                <c:pt idx="81">
                  <c:v>-8.499</c:v>
                </c:pt>
                <c:pt idx="82">
                  <c:v>-8.489</c:v>
                </c:pt>
                <c:pt idx="83">
                  <c:v>-8.446</c:v>
                </c:pt>
                <c:pt idx="84">
                  <c:v>-8.418</c:v>
                </c:pt>
                <c:pt idx="85">
                  <c:v>-8.218</c:v>
                </c:pt>
                <c:pt idx="86">
                  <c:v>-3.024</c:v>
                </c:pt>
                <c:pt idx="87">
                  <c:v>3.132</c:v>
                </c:pt>
                <c:pt idx="88">
                  <c:v>8.352</c:v>
                </c:pt>
                <c:pt idx="89">
                  <c:v>8.506</c:v>
                </c:pt>
                <c:pt idx="90">
                  <c:v>8.550</c:v>
                </c:pt>
                <c:pt idx="91">
                  <c:v>8.499</c:v>
                </c:pt>
                <c:pt idx="92">
                  <c:v>8.499</c:v>
                </c:pt>
                <c:pt idx="93">
                  <c:v>8.447</c:v>
                </c:pt>
                <c:pt idx="94">
                  <c:v>8.418</c:v>
                </c:pt>
                <c:pt idx="95">
                  <c:v>8.220</c:v>
                </c:pt>
                <c:pt idx="96">
                  <c:v>3.024</c:v>
                </c:pt>
                <c:pt idx="97">
                  <c:v>-4.456</c:v>
                </c:pt>
                <c:pt idx="98">
                  <c:v>-8.352</c:v>
                </c:pt>
                <c:pt idx="99">
                  <c:v>-8.506</c:v>
                </c:pt>
                <c:pt idx="100">
                  <c:v>-8.524</c:v>
                </c:pt>
                <c:pt idx="101">
                  <c:v>-8.524</c:v>
                </c:pt>
                <c:pt idx="102">
                  <c:v>-8.259</c:v>
                </c:pt>
                <c:pt idx="103">
                  <c:v>-7.876</c:v>
                </c:pt>
                <c:pt idx="104">
                  <c:v>-7.812</c:v>
                </c:pt>
                <c:pt idx="105">
                  <c:v>8.259</c:v>
                </c:pt>
                <c:pt idx="106">
                  <c:v>7.824</c:v>
                </c:pt>
                <c:pt idx="107">
                  <c:v>-8.139</c:v>
                </c:pt>
                <c:pt idx="108">
                  <c:v>-7.586</c:v>
                </c:pt>
                <c:pt idx="109">
                  <c:v>-7.197</c:v>
                </c:pt>
                <c:pt idx="110">
                  <c:v>7.586</c:v>
                </c:pt>
                <c:pt idx="111">
                  <c:v>7.201</c:v>
                </c:pt>
                <c:pt idx="112">
                  <c:v>-7.466</c:v>
                </c:pt>
                <c:pt idx="113">
                  <c:v>-8.376</c:v>
                </c:pt>
                <c:pt idx="114">
                  <c:v>-9.198</c:v>
                </c:pt>
                <c:pt idx="115">
                  <c:v>-8.691</c:v>
                </c:pt>
                <c:pt idx="116">
                  <c:v>9.198</c:v>
                </c:pt>
                <c:pt idx="117">
                  <c:v>8.691</c:v>
                </c:pt>
                <c:pt idx="118">
                  <c:v>-9.078</c:v>
                </c:pt>
                <c:pt idx="119">
                  <c:v>-9.871</c:v>
                </c:pt>
                <c:pt idx="120">
                  <c:v>-9.313</c:v>
                </c:pt>
                <c:pt idx="121">
                  <c:v>9.871</c:v>
                </c:pt>
                <c:pt idx="122">
                  <c:v>9.314</c:v>
                </c:pt>
                <c:pt idx="123">
                  <c:v>-9.751</c:v>
                </c:pt>
                <c:pt idx="124">
                  <c:v>-9.596</c:v>
                </c:pt>
                <c:pt idx="125">
                  <c:v>-8.724</c:v>
                </c:pt>
                <c:pt idx="126">
                  <c:v>-8.326</c:v>
                </c:pt>
                <c:pt idx="127">
                  <c:v>-8.254</c:v>
                </c:pt>
                <c:pt idx="128">
                  <c:v>-8.233</c:v>
                </c:pt>
                <c:pt idx="129">
                  <c:v>-8.124</c:v>
                </c:pt>
                <c:pt idx="130">
                  <c:v>8.611</c:v>
                </c:pt>
                <c:pt idx="131">
                  <c:v>8.708</c:v>
                </c:pt>
                <c:pt idx="132">
                  <c:v>8.724</c:v>
                </c:pt>
                <c:pt idx="133">
                  <c:v>8.262</c:v>
                </c:pt>
                <c:pt idx="134">
                  <c:v>8.238</c:v>
                </c:pt>
                <c:pt idx="135">
                  <c:v>8.140</c:v>
                </c:pt>
                <c:pt idx="136">
                  <c:v>-8.611</c:v>
                </c:pt>
                <c:pt idx="137">
                  <c:v>-8.687</c:v>
                </c:pt>
                <c:pt idx="138">
                  <c:v>-8.687</c:v>
                </c:pt>
                <c:pt idx="139">
                  <c:v>-8.470</c:v>
                </c:pt>
                <c:pt idx="140">
                  <c:v>-7.569</c:v>
                </c:pt>
                <c:pt idx="141">
                  <c:v>8.471</c:v>
                </c:pt>
                <c:pt idx="142">
                  <c:v>7.571</c:v>
                </c:pt>
                <c:pt idx="143">
                  <c:v>-8.351</c:v>
                </c:pt>
                <c:pt idx="144">
                  <c:v>-7.772</c:v>
                </c:pt>
                <c:pt idx="145">
                  <c:v>-6.977</c:v>
                </c:pt>
                <c:pt idx="146">
                  <c:v>7.772</c:v>
                </c:pt>
                <c:pt idx="147">
                  <c:v>6.978</c:v>
                </c:pt>
                <c:pt idx="148">
                  <c:v>-7.652</c:v>
                </c:pt>
                <c:pt idx="149">
                  <c:v>-8.567</c:v>
                </c:pt>
                <c:pt idx="150">
                  <c:v>-9.445</c:v>
                </c:pt>
                <c:pt idx="151">
                  <c:v>-8.399</c:v>
                </c:pt>
                <c:pt idx="152">
                  <c:v>9.445</c:v>
                </c:pt>
                <c:pt idx="153">
                  <c:v>8.399</c:v>
                </c:pt>
                <c:pt idx="154">
                  <c:v>-9.326</c:v>
                </c:pt>
                <c:pt idx="155">
                  <c:v>-10.144</c:v>
                </c:pt>
                <c:pt idx="156">
                  <c:v>-8.993</c:v>
                </c:pt>
                <c:pt idx="157">
                  <c:v>10.144</c:v>
                </c:pt>
                <c:pt idx="158">
                  <c:v>8.993</c:v>
                </c:pt>
                <c:pt idx="159">
                  <c:v>-10.024</c:v>
                </c:pt>
                <c:pt idx="160">
                  <c:v>-9.838</c:v>
                </c:pt>
                <c:pt idx="161">
                  <c:v>-8.948</c:v>
                </c:pt>
                <c:pt idx="162">
                  <c:v>-7.993</c:v>
                </c:pt>
                <c:pt idx="163">
                  <c:v>-7.966</c:v>
                </c:pt>
                <c:pt idx="164">
                  <c:v>-7.864</c:v>
                </c:pt>
                <c:pt idx="165">
                  <c:v>8.840</c:v>
                </c:pt>
                <c:pt idx="166">
                  <c:v>8.936</c:v>
                </c:pt>
                <c:pt idx="167">
                  <c:v>8.948</c:v>
                </c:pt>
                <c:pt idx="168">
                  <c:v>7.995</c:v>
                </c:pt>
                <c:pt idx="169">
                  <c:v>7.967</c:v>
                </c:pt>
                <c:pt idx="170">
                  <c:v>7.868</c:v>
                </c:pt>
                <c:pt idx="171">
                  <c:v>-8.840</c:v>
                </c:pt>
                <c:pt idx="172">
                  <c:v>-8.916</c:v>
                </c:pt>
                <c:pt idx="173">
                  <c:v>-8.916</c:v>
                </c:pt>
                <c:pt idx="174">
                  <c:v>-8.668</c:v>
                </c:pt>
                <c:pt idx="175">
                  <c:v>-7.313</c:v>
                </c:pt>
                <c:pt idx="176">
                  <c:v>8.668</c:v>
                </c:pt>
                <c:pt idx="177">
                  <c:v>7.306</c:v>
                </c:pt>
                <c:pt idx="178">
                  <c:v>-8.549</c:v>
                </c:pt>
                <c:pt idx="179">
                  <c:v>-7.945</c:v>
                </c:pt>
                <c:pt idx="180">
                  <c:v>-6.745</c:v>
                </c:pt>
                <c:pt idx="181">
                  <c:v>7.945</c:v>
                </c:pt>
                <c:pt idx="182">
                  <c:v>6.742</c:v>
                </c:pt>
                <c:pt idx="183">
                  <c:v>-7.826</c:v>
                </c:pt>
                <c:pt idx="184">
                  <c:v>-8.743</c:v>
                </c:pt>
                <c:pt idx="185">
                  <c:v>-9.675</c:v>
                </c:pt>
                <c:pt idx="186">
                  <c:v>-8.092</c:v>
                </c:pt>
                <c:pt idx="187">
                  <c:v>9.675</c:v>
                </c:pt>
                <c:pt idx="188">
                  <c:v>8.092</c:v>
                </c:pt>
                <c:pt idx="189">
                  <c:v>-9.556</c:v>
                </c:pt>
                <c:pt idx="190">
                  <c:v>-10.398</c:v>
                </c:pt>
                <c:pt idx="191">
                  <c:v>-8.656</c:v>
                </c:pt>
                <c:pt idx="192">
                  <c:v>10.398</c:v>
                </c:pt>
                <c:pt idx="193">
                  <c:v>8.656</c:v>
                </c:pt>
                <c:pt idx="194">
                  <c:v>-10.279</c:v>
                </c:pt>
                <c:pt idx="195">
                  <c:v>-10.062</c:v>
                </c:pt>
                <c:pt idx="196">
                  <c:v>-9.157</c:v>
                </c:pt>
                <c:pt idx="197">
                  <c:v>-7.718</c:v>
                </c:pt>
                <c:pt idx="198">
                  <c:v>-7.685</c:v>
                </c:pt>
                <c:pt idx="199">
                  <c:v>-7.592</c:v>
                </c:pt>
                <c:pt idx="200">
                  <c:v>9.055</c:v>
                </c:pt>
                <c:pt idx="201">
                  <c:v>9.149</c:v>
                </c:pt>
                <c:pt idx="202">
                  <c:v>9.157</c:v>
                </c:pt>
                <c:pt idx="203">
                  <c:v>7.713</c:v>
                </c:pt>
                <c:pt idx="204">
                  <c:v>7.681</c:v>
                </c:pt>
                <c:pt idx="205">
                  <c:v>7.582</c:v>
                </c:pt>
                <c:pt idx="206">
                  <c:v>-9.055</c:v>
                </c:pt>
                <c:pt idx="207">
                  <c:v>-9.130</c:v>
                </c:pt>
                <c:pt idx="208">
                  <c:v>-9.130</c:v>
                </c:pt>
                <c:pt idx="209">
                  <c:v>-8.850</c:v>
                </c:pt>
                <c:pt idx="210">
                  <c:v>-7.029</c:v>
                </c:pt>
                <c:pt idx="211">
                  <c:v>8.850</c:v>
                </c:pt>
                <c:pt idx="212">
                  <c:v>7.029</c:v>
                </c:pt>
                <c:pt idx="213">
                  <c:v>-8.731</c:v>
                </c:pt>
                <c:pt idx="214">
                  <c:v>-8.104</c:v>
                </c:pt>
                <c:pt idx="215">
                  <c:v>-6.496</c:v>
                </c:pt>
                <c:pt idx="216">
                  <c:v>8.104</c:v>
                </c:pt>
                <c:pt idx="217">
                  <c:v>6.496</c:v>
                </c:pt>
                <c:pt idx="218">
                  <c:v>-7.985</c:v>
                </c:pt>
                <c:pt idx="219">
                  <c:v>-8.903</c:v>
                </c:pt>
                <c:pt idx="220">
                  <c:v>-9.889</c:v>
                </c:pt>
                <c:pt idx="221">
                  <c:v>-7.771</c:v>
                </c:pt>
                <c:pt idx="222">
                  <c:v>9.889</c:v>
                </c:pt>
                <c:pt idx="223">
                  <c:v>7.771</c:v>
                </c:pt>
                <c:pt idx="224">
                  <c:v>-9.771</c:v>
                </c:pt>
                <c:pt idx="225">
                  <c:v>-10.635</c:v>
                </c:pt>
                <c:pt idx="226">
                  <c:v>-8.305</c:v>
                </c:pt>
                <c:pt idx="227">
                  <c:v>10.635</c:v>
                </c:pt>
                <c:pt idx="228">
                  <c:v>8.304</c:v>
                </c:pt>
                <c:pt idx="229">
                  <c:v>-10.517</c:v>
                </c:pt>
                <c:pt idx="230">
                  <c:v>-10.269</c:v>
                </c:pt>
                <c:pt idx="231">
                  <c:v>-9.350</c:v>
                </c:pt>
                <c:pt idx="232">
                  <c:v>-7.420</c:v>
                </c:pt>
                <c:pt idx="233">
                  <c:v>-7.384</c:v>
                </c:pt>
                <c:pt idx="234">
                  <c:v>-7.285</c:v>
                </c:pt>
                <c:pt idx="235">
                  <c:v>9.253</c:v>
                </c:pt>
                <c:pt idx="236">
                  <c:v>9.346</c:v>
                </c:pt>
                <c:pt idx="237">
                  <c:v>9.350</c:v>
                </c:pt>
                <c:pt idx="238">
                  <c:v>7.419</c:v>
                </c:pt>
                <c:pt idx="239">
                  <c:v>7.383</c:v>
                </c:pt>
                <c:pt idx="240">
                  <c:v>7.284</c:v>
                </c:pt>
                <c:pt idx="241">
                  <c:v>-9.253</c:v>
                </c:pt>
                <c:pt idx="242">
                  <c:v>-9.327</c:v>
                </c:pt>
                <c:pt idx="243">
                  <c:v>-9.327</c:v>
                </c:pt>
                <c:pt idx="244">
                  <c:v>-9.015</c:v>
                </c:pt>
                <c:pt idx="245">
                  <c:v>-6.729</c:v>
                </c:pt>
                <c:pt idx="246">
                  <c:v>9.015</c:v>
                </c:pt>
                <c:pt idx="247">
                  <c:v>6.737</c:v>
                </c:pt>
                <c:pt idx="248">
                  <c:v>-8.897</c:v>
                </c:pt>
                <c:pt idx="249">
                  <c:v>-8.247</c:v>
                </c:pt>
                <c:pt idx="250">
                  <c:v>-6.232</c:v>
                </c:pt>
                <c:pt idx="251">
                  <c:v>8.248</c:v>
                </c:pt>
                <c:pt idx="252">
                  <c:v>6.235</c:v>
                </c:pt>
                <c:pt idx="253">
                  <c:v>-8.130</c:v>
                </c:pt>
                <c:pt idx="254">
                  <c:v>-9.047</c:v>
                </c:pt>
                <c:pt idx="255">
                  <c:v>-10.085</c:v>
                </c:pt>
                <c:pt idx="256">
                  <c:v>-7.436</c:v>
                </c:pt>
                <c:pt idx="257">
                  <c:v>10.085</c:v>
                </c:pt>
                <c:pt idx="258">
                  <c:v>7.436</c:v>
                </c:pt>
                <c:pt idx="259">
                  <c:v>-9.968</c:v>
                </c:pt>
                <c:pt idx="260">
                  <c:v>-10.853</c:v>
                </c:pt>
                <c:pt idx="261">
                  <c:v>-7.937</c:v>
                </c:pt>
                <c:pt idx="262">
                  <c:v>10.853</c:v>
                </c:pt>
                <c:pt idx="263">
                  <c:v>7.937</c:v>
                </c:pt>
                <c:pt idx="264">
                  <c:v>-10.736</c:v>
                </c:pt>
                <c:pt idx="265">
                  <c:v>-10.457</c:v>
                </c:pt>
                <c:pt idx="266">
                  <c:v>-9.526</c:v>
                </c:pt>
                <c:pt idx="267">
                  <c:v>-7.469</c:v>
                </c:pt>
                <c:pt idx="268">
                  <c:v>-7.105</c:v>
                </c:pt>
                <c:pt idx="269">
                  <c:v>-7.068</c:v>
                </c:pt>
                <c:pt idx="270">
                  <c:v>-6.961</c:v>
                </c:pt>
                <c:pt idx="271">
                  <c:v>9.435</c:v>
                </c:pt>
                <c:pt idx="272">
                  <c:v>9.526</c:v>
                </c:pt>
                <c:pt idx="273">
                  <c:v>9.526</c:v>
                </c:pt>
                <c:pt idx="274">
                  <c:v>7.110</c:v>
                </c:pt>
                <c:pt idx="275">
                  <c:v>7.071</c:v>
                </c:pt>
                <c:pt idx="276">
                  <c:v>6.971</c:v>
                </c:pt>
                <c:pt idx="277">
                  <c:v>-9.435</c:v>
                </c:pt>
                <c:pt idx="278">
                  <c:v>-9.507</c:v>
                </c:pt>
                <c:pt idx="279">
                  <c:v>-9.507</c:v>
                </c:pt>
                <c:pt idx="280">
                  <c:v>-9.165</c:v>
                </c:pt>
                <c:pt idx="281">
                  <c:v>-6.436</c:v>
                </c:pt>
                <c:pt idx="282">
                  <c:v>9.165</c:v>
                </c:pt>
                <c:pt idx="283">
                  <c:v>6.434</c:v>
                </c:pt>
                <c:pt idx="284">
                  <c:v>-9.049</c:v>
                </c:pt>
                <c:pt idx="285">
                  <c:v>-8.377</c:v>
                </c:pt>
                <c:pt idx="286">
                  <c:v>-5.966</c:v>
                </c:pt>
                <c:pt idx="287">
                  <c:v>8.377</c:v>
                </c:pt>
                <c:pt idx="288">
                  <c:v>5.965</c:v>
                </c:pt>
                <c:pt idx="289">
                  <c:v>-8.261</c:v>
                </c:pt>
                <c:pt idx="290">
                  <c:v>-9.176</c:v>
                </c:pt>
                <c:pt idx="291">
                  <c:v>-10.264</c:v>
                </c:pt>
                <c:pt idx="292">
                  <c:v>-7.088</c:v>
                </c:pt>
                <c:pt idx="293">
                  <c:v>10.264</c:v>
                </c:pt>
                <c:pt idx="294">
                  <c:v>7.088</c:v>
                </c:pt>
                <c:pt idx="295">
                  <c:v>-10.148</c:v>
                </c:pt>
                <c:pt idx="296">
                  <c:v>-11.052</c:v>
                </c:pt>
                <c:pt idx="297">
                  <c:v>-7.557</c:v>
                </c:pt>
                <c:pt idx="298">
                  <c:v>11.052</c:v>
                </c:pt>
                <c:pt idx="299">
                  <c:v>7.557</c:v>
                </c:pt>
                <c:pt idx="300">
                  <c:v>-10.936</c:v>
                </c:pt>
                <c:pt idx="301">
                  <c:v>-10.627</c:v>
                </c:pt>
                <c:pt idx="302">
                  <c:v>-9.686</c:v>
                </c:pt>
                <c:pt idx="303">
                  <c:v>-6.791</c:v>
                </c:pt>
                <c:pt idx="304">
                  <c:v>-6.748</c:v>
                </c:pt>
                <c:pt idx="305">
                  <c:v>-6.649</c:v>
                </c:pt>
                <c:pt idx="306">
                  <c:v>9.601</c:v>
                </c:pt>
                <c:pt idx="307">
                  <c:v>9.690</c:v>
                </c:pt>
                <c:pt idx="308">
                  <c:v>9.686</c:v>
                </c:pt>
                <c:pt idx="309">
                  <c:v>6.790</c:v>
                </c:pt>
                <c:pt idx="310">
                  <c:v>6.747</c:v>
                </c:pt>
                <c:pt idx="311">
                  <c:v>6.647</c:v>
                </c:pt>
                <c:pt idx="312">
                  <c:v>-9.601</c:v>
                </c:pt>
                <c:pt idx="313">
                  <c:v>-9.672</c:v>
                </c:pt>
                <c:pt idx="314">
                  <c:v>9.594</c:v>
                </c:pt>
                <c:pt idx="315">
                  <c:v>9.549</c:v>
                </c:pt>
                <c:pt idx="316">
                  <c:v>9.460</c:v>
                </c:pt>
                <c:pt idx="317">
                  <c:v>9.327</c:v>
                </c:pt>
                <c:pt idx="318">
                  <c:v>9.149</c:v>
                </c:pt>
                <c:pt idx="319">
                  <c:v>9.035</c:v>
                </c:pt>
                <c:pt idx="320">
                  <c:v>8.805</c:v>
                </c:pt>
                <c:pt idx="321">
                  <c:v>8.525</c:v>
                </c:pt>
                <c:pt idx="322">
                  <c:v>8.027</c:v>
                </c:pt>
                <c:pt idx="323">
                  <c:v>7.446</c:v>
                </c:pt>
                <c:pt idx="324">
                  <c:v>6.788</c:v>
                </c:pt>
                <c:pt idx="325">
                  <c:v>6.058</c:v>
                </c:pt>
                <c:pt idx="326">
                  <c:v>5.265</c:v>
                </c:pt>
                <c:pt idx="327">
                  <c:v>4.416</c:v>
                </c:pt>
                <c:pt idx="328">
                  <c:v>3.522</c:v>
                </c:pt>
                <c:pt idx="329">
                  <c:v>2.590</c:v>
                </c:pt>
                <c:pt idx="330">
                  <c:v>1.628</c:v>
                </c:pt>
                <c:pt idx="331">
                  <c:v>0,982</c:v>
                </c:pt>
                <c:pt idx="332">
                  <c:v>0,328</c:v>
                </c:pt>
                <c:pt idx="333">
                  <c:v>-9.480</c:v>
                </c:pt>
                <c:pt idx="334">
                  <c:v>-9.201</c:v>
                </c:pt>
                <c:pt idx="335">
                  <c:v>-5.489</c:v>
                </c:pt>
                <c:pt idx="336">
                  <c:v>-6.497</c:v>
                </c:pt>
                <c:pt idx="337">
                  <c:v>-6.497</c:v>
                </c:pt>
                <c:pt idx="338">
                  <c:v>-3.631</c:v>
                </c:pt>
                <c:pt idx="339">
                  <c:v>-1.773</c:v>
                </c:pt>
                <c:pt idx="340">
                  <c:v>-6.497</c:v>
                </c:pt>
                <c:pt idx="341">
                  <c:v>-6.497</c:v>
                </c:pt>
                <c:pt idx="342">
                  <c:v>0,085</c:v>
                </c:pt>
                <c:pt idx="343">
                  <c:v>0,707</c:v>
                </c:pt>
                <c:pt idx="344">
                  <c:v>1.117</c:v>
                </c:pt>
                <c:pt idx="345">
                  <c:v>1.488</c:v>
                </c:pt>
                <c:pt idx="346">
                  <c:v>1.796</c:v>
                </c:pt>
                <c:pt idx="347">
                  <c:v>-6.497</c:v>
                </c:pt>
                <c:pt idx="348">
                  <c:v>-6.497</c:v>
                </c:pt>
                <c:pt idx="349">
                  <c:v>3.172</c:v>
                </c:pt>
                <c:pt idx="350">
                  <c:v>3.788</c:v>
                </c:pt>
                <c:pt idx="351">
                  <c:v>4.302</c:v>
                </c:pt>
                <c:pt idx="352">
                  <c:v>-6.497</c:v>
                </c:pt>
                <c:pt idx="353">
                  <c:v>-6.497</c:v>
                </c:pt>
                <c:pt idx="354">
                  <c:v>-5.466</c:v>
                </c:pt>
                <c:pt idx="355">
                  <c:v>5.218</c:v>
                </c:pt>
                <c:pt idx="356">
                  <c:v>5.511</c:v>
                </c:pt>
                <c:pt idx="357">
                  <c:v>5.838</c:v>
                </c:pt>
                <c:pt idx="358">
                  <c:v>5.928</c:v>
                </c:pt>
                <c:pt idx="359">
                  <c:v>-3.607</c:v>
                </c:pt>
                <c:pt idx="360">
                  <c:v>-1.748</c:v>
                </c:pt>
                <c:pt idx="361">
                  <c:v>6.384</c:v>
                </c:pt>
                <c:pt idx="362">
                  <c:v>6.463</c:v>
                </c:pt>
                <c:pt idx="363">
                  <c:v>6.491</c:v>
                </c:pt>
                <c:pt idx="364">
                  <c:v>6.491</c:v>
                </c:pt>
                <c:pt idx="365">
                  <c:v>6.458</c:v>
                </c:pt>
                <c:pt idx="366">
                  <c:v>0,153</c:v>
                </c:pt>
                <c:pt idx="367">
                  <c:v>0,715</c:v>
                </c:pt>
                <c:pt idx="368">
                  <c:v>1.112</c:v>
                </c:pt>
                <c:pt idx="369">
                  <c:v>1.502</c:v>
                </c:pt>
                <c:pt idx="370">
                  <c:v>1.851</c:v>
                </c:pt>
                <c:pt idx="371">
                  <c:v>2.431</c:v>
                </c:pt>
                <c:pt idx="372">
                  <c:v>2.978</c:v>
                </c:pt>
                <c:pt idx="373">
                  <c:v>3.277</c:v>
                </c:pt>
                <c:pt idx="374">
                  <c:v>3.584</c:v>
                </c:pt>
                <c:pt idx="375">
                  <c:v>4.883</c:v>
                </c:pt>
                <c:pt idx="376">
                  <c:v>4.883</c:v>
                </c:pt>
                <c:pt idx="377">
                  <c:v>-7.289</c:v>
                </c:pt>
                <c:pt idx="378">
                  <c:v>-7.289</c:v>
                </c:pt>
                <c:pt idx="379">
                  <c:v>0,006</c:v>
                </c:pt>
                <c:pt idx="380">
                  <c:v>0,495</c:v>
                </c:pt>
                <c:pt idx="381">
                  <c:v>0,992</c:v>
                </c:pt>
                <c:pt idx="382">
                  <c:v>1.483</c:v>
                </c:pt>
                <c:pt idx="383">
                  <c:v>1.966</c:v>
                </c:pt>
                <c:pt idx="384">
                  <c:v>2.440</c:v>
                </c:pt>
                <c:pt idx="385">
                  <c:v>2.882</c:v>
                </c:pt>
                <c:pt idx="386">
                  <c:v>3.571</c:v>
                </c:pt>
                <c:pt idx="387">
                  <c:v>4.221</c:v>
                </c:pt>
                <c:pt idx="388">
                  <c:v>4.599</c:v>
                </c:pt>
                <c:pt idx="389">
                  <c:v>4.974</c:v>
                </c:pt>
                <c:pt idx="390">
                  <c:v>5.326</c:v>
                </c:pt>
                <c:pt idx="391">
                  <c:v>5.653</c:v>
                </c:pt>
                <c:pt idx="392">
                  <c:v>5.953</c:v>
                </c:pt>
                <c:pt idx="393">
                  <c:v>6.226</c:v>
                </c:pt>
                <c:pt idx="394">
                  <c:v>6.470</c:v>
                </c:pt>
                <c:pt idx="395">
                  <c:v>6.674</c:v>
                </c:pt>
                <c:pt idx="396">
                  <c:v>6.952</c:v>
                </c:pt>
                <c:pt idx="397">
                  <c:v>7.080</c:v>
                </c:pt>
                <c:pt idx="398">
                  <c:v>7.181</c:v>
                </c:pt>
                <c:pt idx="399">
                  <c:v>7.249</c:v>
                </c:pt>
                <c:pt idx="400">
                  <c:v>7.283</c:v>
                </c:pt>
                <c:pt idx="401">
                  <c:v>7.283</c:v>
                </c:pt>
                <c:pt idx="402">
                  <c:v>7.249</c:v>
                </c:pt>
                <c:pt idx="403">
                  <c:v>7.181</c:v>
                </c:pt>
                <c:pt idx="404">
                  <c:v>7.085</c:v>
                </c:pt>
                <c:pt idx="405">
                  <c:v>6.858</c:v>
                </c:pt>
                <c:pt idx="406">
                  <c:v>6.684</c:v>
                </c:pt>
                <c:pt idx="407">
                  <c:v>6.480</c:v>
                </c:pt>
                <c:pt idx="408">
                  <c:v>6.092</c:v>
                </c:pt>
                <c:pt idx="409">
                  <c:v>5.651</c:v>
                </c:pt>
                <c:pt idx="410">
                  <c:v>5.151</c:v>
                </c:pt>
                <c:pt idx="411">
                  <c:v>4.598</c:v>
                </c:pt>
                <c:pt idx="412">
                  <c:v>3.996</c:v>
                </c:pt>
                <c:pt idx="413">
                  <c:v>3.352</c:v>
                </c:pt>
                <c:pt idx="414">
                  <c:v>2.673</c:v>
                </c:pt>
                <c:pt idx="415">
                  <c:v>1.966</c:v>
                </c:pt>
                <c:pt idx="416">
                  <c:v>1.215</c:v>
                </c:pt>
                <c:pt idx="417">
                  <c:v>0,745</c:v>
                </c:pt>
                <c:pt idx="418">
                  <c:v>0,248</c:v>
                </c:pt>
                <c:pt idx="419">
                  <c:v>-7.169</c:v>
                </c:pt>
                <c:pt idx="420">
                  <c:v>-8.584</c:v>
                </c:pt>
                <c:pt idx="421">
                  <c:v>-8.584</c:v>
                </c:pt>
                <c:pt idx="422">
                  <c:v>0,029</c:v>
                </c:pt>
                <c:pt idx="423">
                  <c:v>0,585</c:v>
                </c:pt>
                <c:pt idx="424">
                  <c:v>1.169</c:v>
                </c:pt>
                <c:pt idx="425">
                  <c:v>1.746</c:v>
                </c:pt>
                <c:pt idx="426">
                  <c:v>2.316</c:v>
                </c:pt>
                <c:pt idx="427">
                  <c:v>2.874</c:v>
                </c:pt>
                <c:pt idx="428">
                  <c:v>3.408</c:v>
                </c:pt>
                <c:pt idx="429">
                  <c:v>4.206</c:v>
                </c:pt>
                <c:pt idx="430">
                  <c:v>4.960</c:v>
                </c:pt>
                <c:pt idx="431">
                  <c:v>5.417</c:v>
                </c:pt>
                <c:pt idx="432">
                  <c:v>5.859</c:v>
                </c:pt>
                <c:pt idx="433">
                  <c:v>6.273</c:v>
                </c:pt>
                <c:pt idx="434">
                  <c:v>6.658</c:v>
                </c:pt>
                <c:pt idx="435">
                  <c:v>7.013</c:v>
                </c:pt>
                <c:pt idx="436">
                  <c:v>7.334</c:v>
                </c:pt>
                <c:pt idx="437">
                  <c:v>7.621</c:v>
                </c:pt>
                <c:pt idx="438">
                  <c:v>7.868</c:v>
                </c:pt>
                <c:pt idx="439">
                  <c:v>8.185</c:v>
                </c:pt>
                <c:pt idx="440">
                  <c:v>8.339</c:v>
                </c:pt>
                <c:pt idx="441">
                  <c:v>8.459</c:v>
                </c:pt>
                <c:pt idx="442">
                  <c:v>8.539</c:v>
                </c:pt>
                <c:pt idx="443">
                  <c:v>8.579</c:v>
                </c:pt>
                <c:pt idx="444">
                  <c:v>8.579</c:v>
                </c:pt>
                <c:pt idx="445">
                  <c:v>8.539</c:v>
                </c:pt>
                <c:pt idx="446">
                  <c:v>8.459</c:v>
                </c:pt>
                <c:pt idx="447">
                  <c:v>8.342</c:v>
                </c:pt>
                <c:pt idx="448">
                  <c:v>8.084</c:v>
                </c:pt>
                <c:pt idx="449">
                  <c:v>7.873</c:v>
                </c:pt>
                <c:pt idx="450">
                  <c:v>7.626</c:v>
                </c:pt>
                <c:pt idx="451">
                  <c:v>7.177</c:v>
                </c:pt>
                <c:pt idx="452">
                  <c:v>6.658</c:v>
                </c:pt>
                <c:pt idx="453">
                  <c:v>6.069</c:v>
                </c:pt>
                <c:pt idx="454">
                  <c:v>5.416</c:v>
                </c:pt>
                <c:pt idx="455">
                  <c:v>4.707</c:v>
                </c:pt>
                <c:pt idx="456">
                  <c:v>3.949</c:v>
                </c:pt>
                <c:pt idx="457">
                  <c:v>3.149</c:v>
                </c:pt>
                <c:pt idx="458">
                  <c:v>2.316</c:v>
                </c:pt>
                <c:pt idx="459">
                  <c:v>1.446</c:v>
                </c:pt>
                <c:pt idx="460">
                  <c:v>0,878</c:v>
                </c:pt>
                <c:pt idx="461">
                  <c:v>0,293</c:v>
                </c:pt>
                <c:pt idx="462">
                  <c:v>-8.464</c:v>
                </c:pt>
                <c:pt idx="463">
                  <c:v>-9.600</c:v>
                </c:pt>
                <c:pt idx="464">
                  <c:v>-9.600</c:v>
                </c:pt>
                <c:pt idx="465">
                  <c:v>0,047</c:v>
                </c:pt>
                <c:pt idx="466">
                  <c:v>0,655</c:v>
                </c:pt>
                <c:pt idx="467">
                  <c:v>1.307</c:v>
                </c:pt>
                <c:pt idx="468">
                  <c:v>1.953</c:v>
                </c:pt>
                <c:pt idx="469">
                  <c:v>2.590</c:v>
                </c:pt>
                <c:pt idx="470">
                  <c:v>3.215</c:v>
                </c:pt>
                <c:pt idx="471">
                  <c:v>3.821</c:v>
                </c:pt>
                <c:pt idx="472">
                  <c:v>4.705</c:v>
                </c:pt>
                <c:pt idx="473">
                  <c:v>5.539</c:v>
                </c:pt>
                <c:pt idx="474">
                  <c:v>6.058</c:v>
                </c:pt>
                <c:pt idx="475">
                  <c:v>6.552</c:v>
                </c:pt>
                <c:pt idx="476">
                  <c:v>7.016</c:v>
                </c:pt>
                <c:pt idx="477">
                  <c:v>7.447</c:v>
                </c:pt>
                <c:pt idx="478">
                  <c:v>7.843</c:v>
                </c:pt>
                <c:pt idx="479">
                  <c:v>8.202</c:v>
                </c:pt>
                <c:pt idx="480">
                  <c:v>8.523</c:v>
                </c:pt>
                <c:pt idx="481">
                  <c:v>8.804</c:v>
                </c:pt>
                <c:pt idx="482">
                  <c:v>9.151</c:v>
                </c:pt>
                <c:pt idx="483">
                  <c:v>9.327</c:v>
                </c:pt>
                <c:pt idx="484">
                  <c:v>9.460</c:v>
                </c:pt>
                <c:pt idx="485">
                  <c:v>9.549</c:v>
                </c:pt>
                <c:pt idx="486">
                  <c:v>9.594</c:v>
                </c:pt>
                <c:pt idx="487">
                  <c:v>9.594</c:v>
                </c:pt>
                <c:pt idx="488">
                  <c:v>9.549</c:v>
                </c:pt>
                <c:pt idx="489">
                  <c:v>9.460</c:v>
                </c:pt>
                <c:pt idx="490">
                  <c:v>9.328</c:v>
                </c:pt>
                <c:pt idx="491">
                  <c:v>9.044</c:v>
                </c:pt>
                <c:pt idx="492">
                  <c:v>8.805</c:v>
                </c:pt>
                <c:pt idx="493">
                  <c:v>8.525</c:v>
                </c:pt>
                <c:pt idx="494">
                  <c:v>8.027</c:v>
                </c:pt>
                <c:pt idx="495">
                  <c:v>7.446</c:v>
                </c:pt>
                <c:pt idx="496">
                  <c:v>6.788</c:v>
                </c:pt>
                <c:pt idx="497">
                  <c:v>6.058</c:v>
                </c:pt>
                <c:pt idx="498">
                  <c:v>5.265</c:v>
                </c:pt>
                <c:pt idx="499">
                  <c:v>4.416</c:v>
                </c:pt>
                <c:pt idx="500">
                  <c:v>3.522</c:v>
                </c:pt>
                <c:pt idx="501">
                  <c:v>2.590</c:v>
                </c:pt>
                <c:pt idx="502">
                  <c:v>1.628</c:v>
                </c:pt>
                <c:pt idx="503">
                  <c:v>0,982</c:v>
                </c:pt>
                <c:pt idx="504">
                  <c:v>0,328</c:v>
                </c:pt>
                <c:pt idx="505">
                  <c:v>-9.480</c:v>
                </c:pt>
                <c:pt idx="506">
                  <c:v>-9.201</c:v>
                </c:pt>
                <c:pt idx="507">
                  <c:v>3.729</c:v>
                </c:pt>
                <c:pt idx="508">
                  <c:v>4.739</c:v>
                </c:pt>
                <c:pt idx="509">
                  <c:v>5.149</c:v>
                </c:pt>
                <c:pt idx="510">
                  <c:v>5.511</c:v>
                </c:pt>
                <c:pt idx="511">
                  <c:v>5.838</c:v>
                </c:pt>
                <c:pt idx="512">
                  <c:v>5.999</c:v>
                </c:pt>
                <c:pt idx="513">
                  <c:v>6.136</c:v>
                </c:pt>
                <c:pt idx="514">
                  <c:v>6.331</c:v>
                </c:pt>
                <c:pt idx="515">
                  <c:v>6.408</c:v>
                </c:pt>
                <c:pt idx="516">
                  <c:v>6.457</c:v>
                </c:pt>
                <c:pt idx="517">
                  <c:v>0,151</c:v>
                </c:pt>
                <c:pt idx="518">
                  <c:v>#¡CAMPO!</c:v>
                </c:pt>
                <c:pt idx="519">
                  <c:v>-1.743</c:v>
                </c:pt>
                <c:pt idx="520">
                  <c:v>6.384</c:v>
                </c:pt>
                <c:pt idx="521">
                  <c:v>6.223</c:v>
                </c:pt>
                <c:pt idx="522">
                  <c:v>5.928</c:v>
                </c:pt>
                <c:pt idx="523">
                  <c:v>-3.603</c:v>
                </c:pt>
                <c:pt idx="524">
                  <c:v>-5.464</c:v>
                </c:pt>
                <c:pt idx="525">
                  <c:v>5.222</c:v>
                </c:pt>
                <c:pt idx="526">
                  <c:v>4.882</c:v>
                </c:pt>
                <c:pt idx="527">
                  <c:v>4.593</c:v>
                </c:pt>
                <c:pt idx="528">
                  <c:v>4.305</c:v>
                </c:pt>
                <c:pt idx="529">
                  <c:v>-6.497</c:v>
                </c:pt>
                <c:pt idx="530">
                  <c:v>-6.497</c:v>
                </c:pt>
                <c:pt idx="531">
                  <c:v>3.169</c:v>
                </c:pt>
                <c:pt idx="532">
                  <c:v>2.859</c:v>
                </c:pt>
                <c:pt idx="533">
                  <c:v>2.510</c:v>
                </c:pt>
                <c:pt idx="534">
                  <c:v>1.802</c:v>
                </c:pt>
                <c:pt idx="535">
                  <c:v>-6.497</c:v>
                </c:pt>
                <c:pt idx="536">
                  <c:v>-6.497</c:v>
                </c:pt>
                <c:pt idx="537">
                  <c:v>0.089</c:v>
                </c:pt>
                <c:pt idx="538">
                  <c:v>-1.771</c:v>
                </c:pt>
                <c:pt idx="539">
                  <c:v>-6.497</c:v>
                </c:pt>
                <c:pt idx="540">
                  <c:v>-6.497</c:v>
                </c:pt>
                <c:pt idx="541">
                  <c:v>-3.630</c:v>
                </c:pt>
                <c:pt idx="542">
                  <c:v>-5.489</c:v>
                </c:pt>
                <c:pt idx="543">
                  <c:v>-6.497</c:v>
                </c:pt>
                <c:pt idx="544">
                  <c:v>-6.497</c:v>
                </c:pt>
                <c:pt idx="545">
                  <c:v>-7.289</c:v>
                </c:pt>
                <c:pt idx="546">
                  <c:v>-7.289</c:v>
                </c:pt>
                <c:pt idx="547">
                  <c:v>0.026</c:v>
                </c:pt>
                <c:pt idx="548">
                  <c:v>0.494</c:v>
                </c:pt>
                <c:pt idx="549">
                  <c:v>0.992</c:v>
                </c:pt>
                <c:pt idx="550">
                  <c:v>1.483</c:v>
                </c:pt>
                <c:pt idx="551">
                  <c:v>1.966</c:v>
                </c:pt>
                <c:pt idx="552">
                  <c:v>2.454</c:v>
                </c:pt>
                <c:pt idx="553">
                  <c:v>3.127</c:v>
                </c:pt>
                <c:pt idx="554">
                  <c:v>3.551</c:v>
                </c:pt>
                <c:pt idx="555">
                  <c:v>4.221</c:v>
                </c:pt>
                <c:pt idx="556">
                  <c:v>4.599</c:v>
                </c:pt>
                <c:pt idx="557">
                  <c:v>4.974</c:v>
                </c:pt>
                <c:pt idx="558">
                  <c:v>5.326</c:v>
                </c:pt>
                <c:pt idx="559">
                  <c:v>5.653</c:v>
                </c:pt>
                <c:pt idx="560">
                  <c:v>5.953</c:v>
                </c:pt>
                <c:pt idx="561">
                  <c:v>6.226</c:v>
                </c:pt>
                <c:pt idx="562">
                  <c:v>6.470</c:v>
                </c:pt>
                <c:pt idx="563">
                  <c:v>6.674</c:v>
                </c:pt>
                <c:pt idx="564">
                  <c:v>6.952</c:v>
                </c:pt>
                <c:pt idx="565">
                  <c:v>7.080</c:v>
                </c:pt>
                <c:pt idx="566">
                  <c:v>7.181</c:v>
                </c:pt>
                <c:pt idx="567">
                  <c:v>7.249</c:v>
                </c:pt>
                <c:pt idx="568">
                  <c:v>7.283</c:v>
                </c:pt>
                <c:pt idx="569">
                  <c:v>7.283</c:v>
                </c:pt>
                <c:pt idx="570">
                  <c:v>7.249</c:v>
                </c:pt>
                <c:pt idx="571">
                  <c:v>7.181</c:v>
                </c:pt>
                <c:pt idx="572">
                  <c:v>7.085</c:v>
                </c:pt>
                <c:pt idx="573">
                  <c:v>6.858</c:v>
                </c:pt>
                <c:pt idx="574">
                  <c:v>6.684</c:v>
                </c:pt>
                <c:pt idx="575">
                  <c:v>6.480</c:v>
                </c:pt>
                <c:pt idx="576">
                  <c:v>6.092</c:v>
                </c:pt>
                <c:pt idx="577">
                  <c:v>5.651</c:v>
                </c:pt>
                <c:pt idx="578">
                  <c:v>5.151</c:v>
                </c:pt>
                <c:pt idx="579">
                  <c:v>4.598</c:v>
                </c:pt>
                <c:pt idx="580">
                  <c:v>3.996</c:v>
                </c:pt>
                <c:pt idx="581">
                  <c:v>3.352</c:v>
                </c:pt>
                <c:pt idx="582">
                  <c:v>2.673</c:v>
                </c:pt>
                <c:pt idx="583">
                  <c:v>1.966</c:v>
                </c:pt>
                <c:pt idx="584">
                  <c:v>1.215</c:v>
                </c:pt>
                <c:pt idx="585">
                  <c:v>0.745</c:v>
                </c:pt>
                <c:pt idx="586">
                  <c:v>0.248</c:v>
                </c:pt>
                <c:pt idx="587">
                  <c:v>-7.169</c:v>
                </c:pt>
                <c:pt idx="588">
                  <c:v>-8.584</c:v>
                </c:pt>
                <c:pt idx="589">
                  <c:v>-8.584</c:v>
                </c:pt>
                <c:pt idx="590">
                  <c:v>0.049</c:v>
                </c:pt>
                <c:pt idx="591">
                  <c:v>0.584</c:v>
                </c:pt>
                <c:pt idx="592">
                  <c:v>1.169</c:v>
                </c:pt>
                <c:pt idx="593">
                  <c:v>1.746</c:v>
                </c:pt>
                <c:pt idx="594">
                  <c:v>2.316</c:v>
                </c:pt>
                <c:pt idx="595">
                  <c:v>2.882</c:v>
                </c:pt>
                <c:pt idx="596">
                  <c:v>3.685</c:v>
                </c:pt>
                <c:pt idx="597">
                  <c:v>4.196</c:v>
                </c:pt>
                <c:pt idx="598">
                  <c:v>4.960</c:v>
                </c:pt>
                <c:pt idx="599">
                  <c:v>5.417</c:v>
                </c:pt>
                <c:pt idx="600">
                  <c:v>5.859</c:v>
                </c:pt>
                <c:pt idx="601">
                  <c:v>6.273</c:v>
                </c:pt>
                <c:pt idx="602">
                  <c:v>6.658</c:v>
                </c:pt>
                <c:pt idx="603">
                  <c:v>7.013</c:v>
                </c:pt>
                <c:pt idx="604">
                  <c:v>7.334</c:v>
                </c:pt>
                <c:pt idx="605">
                  <c:v>7.621</c:v>
                </c:pt>
                <c:pt idx="606">
                  <c:v>7.868</c:v>
                </c:pt>
                <c:pt idx="607">
                  <c:v>8.185</c:v>
                </c:pt>
                <c:pt idx="608">
                  <c:v>8.339</c:v>
                </c:pt>
                <c:pt idx="609">
                  <c:v>8.459</c:v>
                </c:pt>
                <c:pt idx="610">
                  <c:v>8.539</c:v>
                </c:pt>
                <c:pt idx="611">
                  <c:v>8.579</c:v>
                </c:pt>
                <c:pt idx="612">
                  <c:v>8.579</c:v>
                </c:pt>
                <c:pt idx="613">
                  <c:v>8.539</c:v>
                </c:pt>
                <c:pt idx="614">
                  <c:v>8.459</c:v>
                </c:pt>
                <c:pt idx="615">
                  <c:v>8.342</c:v>
                </c:pt>
                <c:pt idx="616">
                  <c:v>8.084</c:v>
                </c:pt>
                <c:pt idx="617">
                  <c:v>7.873</c:v>
                </c:pt>
                <c:pt idx="618">
                  <c:v>7.626</c:v>
                </c:pt>
                <c:pt idx="619">
                  <c:v>7.177</c:v>
                </c:pt>
                <c:pt idx="620">
                  <c:v>6.658</c:v>
                </c:pt>
                <c:pt idx="621">
                  <c:v>6.069</c:v>
                </c:pt>
                <c:pt idx="622">
                  <c:v>5.416</c:v>
                </c:pt>
                <c:pt idx="623">
                  <c:v>4.707</c:v>
                </c:pt>
                <c:pt idx="624">
                  <c:v>3.949</c:v>
                </c:pt>
                <c:pt idx="625">
                  <c:v>3.149</c:v>
                </c:pt>
                <c:pt idx="626">
                  <c:v>2.316</c:v>
                </c:pt>
                <c:pt idx="627">
                  <c:v>1.446</c:v>
                </c:pt>
                <c:pt idx="628">
                  <c:v>0.878</c:v>
                </c:pt>
                <c:pt idx="629">
                  <c:v>0.293</c:v>
                </c:pt>
                <c:pt idx="630">
                  <c:v>-8.464</c:v>
                </c:pt>
                <c:pt idx="631">
                  <c:v>-9.600</c:v>
                </c:pt>
                <c:pt idx="632">
                  <c:v>-9.600</c:v>
                </c:pt>
                <c:pt idx="633">
                  <c:v>0.068</c:v>
                </c:pt>
                <c:pt idx="634">
                  <c:v>0.655</c:v>
                </c:pt>
                <c:pt idx="635">
                  <c:v>1.307</c:v>
                </c:pt>
                <c:pt idx="636">
                  <c:v>1.953</c:v>
                </c:pt>
                <c:pt idx="637">
                  <c:v>2.590</c:v>
                </c:pt>
                <c:pt idx="638">
                  <c:v>3.217</c:v>
                </c:pt>
                <c:pt idx="639">
                  <c:v>4.123</c:v>
                </c:pt>
                <c:pt idx="640">
                  <c:v>4.702</c:v>
                </c:pt>
                <c:pt idx="641">
                  <c:v>5.539</c:v>
                </c:pt>
                <c:pt idx="642">
                  <c:v>6.058</c:v>
                </c:pt>
                <c:pt idx="643">
                  <c:v>6.552</c:v>
                </c:pt>
                <c:pt idx="644">
                  <c:v>7.016</c:v>
                </c:pt>
                <c:pt idx="645">
                  <c:v>7.447</c:v>
                </c:pt>
                <c:pt idx="646">
                  <c:v>7.843</c:v>
                </c:pt>
                <c:pt idx="647">
                  <c:v>8.202</c:v>
                </c:pt>
                <c:pt idx="648">
                  <c:v>8.523</c:v>
                </c:pt>
                <c:pt idx="649">
                  <c:v>8.804</c:v>
                </c:pt>
                <c:pt idx="650">
                  <c:v>9.151</c:v>
                </c:pt>
                <c:pt idx="651">
                  <c:v>9.327</c:v>
                </c:pt>
                <c:pt idx="652">
                  <c:v>9.460</c:v>
                </c:pt>
                <c:pt idx="653">
                  <c:v>9.549</c:v>
                </c:pt>
                <c:pt idx="654">
                  <c:v>9.594</c:v>
                </c:pt>
                <c:pt idx="655">
                  <c:v>9.594</c:v>
                </c:pt>
                <c:pt idx="656">
                  <c:v>9.549</c:v>
                </c:pt>
                <c:pt idx="657">
                  <c:v>9.460</c:v>
                </c:pt>
                <c:pt idx="658">
                  <c:v>9.328</c:v>
                </c:pt>
                <c:pt idx="659">
                  <c:v>9.044</c:v>
                </c:pt>
                <c:pt idx="660">
                  <c:v>8.805</c:v>
                </c:pt>
                <c:pt idx="661">
                  <c:v>8.525</c:v>
                </c:pt>
                <c:pt idx="662">
                  <c:v>8.027</c:v>
                </c:pt>
                <c:pt idx="663">
                  <c:v>7.446</c:v>
                </c:pt>
                <c:pt idx="664">
                  <c:v>6.788</c:v>
                </c:pt>
                <c:pt idx="665">
                  <c:v>6.058</c:v>
                </c:pt>
                <c:pt idx="666">
                  <c:v>5.265</c:v>
                </c:pt>
                <c:pt idx="667">
                  <c:v>4.416</c:v>
                </c:pt>
                <c:pt idx="668">
                  <c:v>3.522</c:v>
                </c:pt>
                <c:pt idx="669">
                  <c:v>2.590</c:v>
                </c:pt>
                <c:pt idx="670">
                  <c:v>1.628</c:v>
                </c:pt>
                <c:pt idx="671">
                  <c:v>0.982</c:v>
                </c:pt>
                <c:pt idx="672">
                  <c:v>0.328</c:v>
                </c:pt>
                <c:pt idx="673">
                  <c:v>-9.480</c:v>
                </c:pt>
                <c:pt idx="674">
                  <c:v>-9.201</c:v>
                </c:pt>
                <c:pt idx="675">
                  <c:v>-1.765</c:v>
                </c:pt>
                <c:pt idx="676">
                  <c:v>1.712</c:v>
                </c:pt>
                <c:pt idx="677">
                  <c:v>3.522</c:v>
                </c:pt>
                <c:pt idx="678">
                  <c:v>3.920</c:v>
                </c:pt>
                <c:pt idx="679">
                  <c:v>4.270</c:v>
                </c:pt>
                <c:pt idx="680">
                  <c:v>4.588</c:v>
                </c:pt>
                <c:pt idx="681">
                  <c:v>4.743</c:v>
                </c:pt>
                <c:pt idx="682">
                  <c:v>4.875</c:v>
                </c:pt>
                <c:pt idx="683">
                  <c:v>5.065</c:v>
                </c:pt>
                <c:pt idx="684">
                  <c:v>5.139</c:v>
                </c:pt>
                <c:pt idx="685">
                  <c:v>5.193</c:v>
                </c:pt>
                <c:pt idx="686">
                  <c:v>5.220</c:v>
                </c:pt>
                <c:pt idx="687">
                  <c:v>5.220</c:v>
                </c:pt>
                <c:pt idx="688">
                  <c:v>5.193</c:v>
                </c:pt>
                <c:pt idx="689">
                  <c:v>5.139</c:v>
                </c:pt>
                <c:pt idx="690">
                  <c:v>5.058</c:v>
                </c:pt>
                <c:pt idx="691">
                  <c:v>4.961</c:v>
                </c:pt>
                <c:pt idx="692">
                  <c:v>4.727</c:v>
                </c:pt>
                <c:pt idx="693">
                  <c:v>4.573</c:v>
                </c:pt>
                <c:pt idx="694">
                  <c:v>4.379</c:v>
                </c:pt>
                <c:pt idx="695">
                  <c:v>4.161</c:v>
                </c:pt>
                <c:pt idx="696">
                  <c:v>3.922</c:v>
                </c:pt>
                <c:pt idx="697">
                  <c:v>3.662</c:v>
                </c:pt>
                <c:pt idx="698">
                  <c:v>3.382</c:v>
                </c:pt>
                <c:pt idx="699">
                  <c:v>3.083</c:v>
                </c:pt>
                <c:pt idx="700">
                  <c:v>2.796</c:v>
                </c:pt>
                <c:pt idx="701">
                  <c:v>2.233</c:v>
                </c:pt>
                <c:pt idx="702">
                  <c:v>1.596</c:v>
                </c:pt>
                <c:pt idx="703">
                  <c:v>0.973</c:v>
                </c:pt>
                <c:pt idx="704">
                  <c:v>0.602</c:v>
                </c:pt>
                <c:pt idx="705">
                  <c:v>0.212</c:v>
                </c:pt>
                <c:pt idx="706">
                  <c:v>#¡CAMPO!</c:v>
                </c:pt>
                <c:pt idx="707">
                  <c:v>#¡CAMPO!</c:v>
                </c:pt>
                <c:pt idx="708">
                  <c:v>-6.380</c:v>
                </c:pt>
                <c:pt idx="709">
                  <c:v>4.677</c:v>
                </c:pt>
                <c:pt idx="710">
                  <c:v>4.677</c:v>
                </c:pt>
                <c:pt idx="711">
                  <c:v>-7.289</c:v>
                </c:pt>
                <c:pt idx="712">
                  <c:v>-7.289</c:v>
                </c:pt>
                <c:pt idx="713">
                  <c:v>0.045</c:v>
                </c:pt>
                <c:pt idx="714">
                  <c:v>0.494</c:v>
                </c:pt>
                <c:pt idx="715">
                  <c:v>0.992</c:v>
                </c:pt>
                <c:pt idx="716">
                  <c:v>1.483</c:v>
                </c:pt>
                <c:pt idx="717">
                  <c:v>1.966</c:v>
                </c:pt>
                <c:pt idx="718">
                  <c:v>2.453</c:v>
                </c:pt>
                <c:pt idx="719">
                  <c:v>3.126</c:v>
                </c:pt>
                <c:pt idx="720">
                  <c:v>3.551</c:v>
                </c:pt>
                <c:pt idx="721">
                  <c:v>4.221</c:v>
                </c:pt>
                <c:pt idx="722">
                  <c:v>4.599</c:v>
                </c:pt>
                <c:pt idx="723">
                  <c:v>4.974</c:v>
                </c:pt>
                <c:pt idx="724">
                  <c:v>5.326</c:v>
                </c:pt>
                <c:pt idx="725">
                  <c:v>5.653</c:v>
                </c:pt>
                <c:pt idx="726">
                  <c:v>5.953</c:v>
                </c:pt>
                <c:pt idx="727">
                  <c:v>6.226</c:v>
                </c:pt>
                <c:pt idx="728">
                  <c:v>6.470</c:v>
                </c:pt>
                <c:pt idx="729">
                  <c:v>6.684</c:v>
                </c:pt>
                <c:pt idx="730">
                  <c:v>6.871</c:v>
                </c:pt>
                <c:pt idx="731">
                  <c:v>7.079</c:v>
                </c:pt>
                <c:pt idx="732">
                  <c:v>7.181</c:v>
                </c:pt>
                <c:pt idx="733">
                  <c:v>7.249</c:v>
                </c:pt>
                <c:pt idx="734">
                  <c:v>7.283</c:v>
                </c:pt>
                <c:pt idx="735">
                  <c:v>7.283</c:v>
                </c:pt>
                <c:pt idx="736">
                  <c:v>7.249</c:v>
                </c:pt>
                <c:pt idx="737">
                  <c:v>7.181</c:v>
                </c:pt>
                <c:pt idx="738">
                  <c:v>7.085</c:v>
                </c:pt>
                <c:pt idx="739">
                  <c:v>6.858</c:v>
                </c:pt>
                <c:pt idx="740">
                  <c:v>6.684</c:v>
                </c:pt>
                <c:pt idx="741">
                  <c:v>6.480</c:v>
                </c:pt>
                <c:pt idx="742">
                  <c:v>6.092</c:v>
                </c:pt>
                <c:pt idx="743">
                  <c:v>5.651</c:v>
                </c:pt>
                <c:pt idx="744">
                  <c:v>5.151</c:v>
                </c:pt>
                <c:pt idx="745">
                  <c:v>4.598</c:v>
                </c:pt>
                <c:pt idx="746">
                  <c:v>3.996</c:v>
                </c:pt>
                <c:pt idx="747">
                  <c:v>3.352</c:v>
                </c:pt>
                <c:pt idx="748">
                  <c:v>2.673</c:v>
                </c:pt>
                <c:pt idx="749">
                  <c:v>1.944</c:v>
                </c:pt>
                <c:pt idx="750">
                  <c:v>1.180</c:v>
                </c:pt>
                <c:pt idx="751">
                  <c:v>0.749</c:v>
                </c:pt>
                <c:pt idx="752">
                  <c:v>0.248</c:v>
                </c:pt>
                <c:pt idx="753">
                  <c:v>-7.169</c:v>
                </c:pt>
                <c:pt idx="754">
                  <c:v>-8.584</c:v>
                </c:pt>
                <c:pt idx="755">
                  <c:v>-8.584</c:v>
                </c:pt>
                <c:pt idx="756">
                  <c:v>0.069</c:v>
                </c:pt>
                <c:pt idx="757">
                  <c:v>0.584</c:v>
                </c:pt>
                <c:pt idx="758">
                  <c:v>1.169</c:v>
                </c:pt>
                <c:pt idx="759">
                  <c:v>1.746</c:v>
                </c:pt>
                <c:pt idx="760">
                  <c:v>2.316</c:v>
                </c:pt>
                <c:pt idx="761">
                  <c:v>2.881</c:v>
                </c:pt>
                <c:pt idx="762">
                  <c:v>3.685</c:v>
                </c:pt>
                <c:pt idx="763">
                  <c:v>4.196</c:v>
                </c:pt>
                <c:pt idx="764">
                  <c:v>4.960</c:v>
                </c:pt>
                <c:pt idx="765">
                  <c:v>5.417</c:v>
                </c:pt>
                <c:pt idx="766">
                  <c:v>5.859</c:v>
                </c:pt>
                <c:pt idx="767">
                  <c:v>6.273</c:v>
                </c:pt>
                <c:pt idx="768">
                  <c:v>6.658</c:v>
                </c:pt>
                <c:pt idx="769">
                  <c:v>7.013</c:v>
                </c:pt>
                <c:pt idx="770">
                  <c:v>7.334</c:v>
                </c:pt>
                <c:pt idx="771">
                  <c:v>7.621</c:v>
                </c:pt>
                <c:pt idx="772">
                  <c:v>7.873</c:v>
                </c:pt>
                <c:pt idx="773">
                  <c:v>8.090</c:v>
                </c:pt>
                <c:pt idx="774">
                  <c:v>8.339</c:v>
                </c:pt>
                <c:pt idx="775">
                  <c:v>8.459</c:v>
                </c:pt>
                <c:pt idx="776">
                  <c:v>8.539</c:v>
                </c:pt>
                <c:pt idx="777">
                  <c:v>8.579</c:v>
                </c:pt>
                <c:pt idx="778">
                  <c:v>8.579</c:v>
                </c:pt>
                <c:pt idx="779">
                  <c:v>8.539</c:v>
                </c:pt>
                <c:pt idx="780">
                  <c:v>8.459</c:v>
                </c:pt>
                <c:pt idx="781">
                  <c:v>8.342</c:v>
                </c:pt>
                <c:pt idx="782">
                  <c:v>8.084</c:v>
                </c:pt>
                <c:pt idx="783">
                  <c:v>7.873</c:v>
                </c:pt>
                <c:pt idx="784">
                  <c:v>7.626</c:v>
                </c:pt>
                <c:pt idx="785">
                  <c:v>7.177</c:v>
                </c:pt>
                <c:pt idx="786">
                  <c:v>6.658</c:v>
                </c:pt>
                <c:pt idx="787">
                  <c:v>6.069</c:v>
                </c:pt>
                <c:pt idx="788">
                  <c:v>5.416</c:v>
                </c:pt>
                <c:pt idx="789">
                  <c:v>4.707</c:v>
                </c:pt>
                <c:pt idx="790">
                  <c:v>3.949</c:v>
                </c:pt>
                <c:pt idx="791">
                  <c:v>3.149</c:v>
                </c:pt>
                <c:pt idx="792">
                  <c:v>2.304</c:v>
                </c:pt>
                <c:pt idx="793">
                  <c:v>1.740</c:v>
                </c:pt>
                <c:pt idx="794">
                  <c:v>1.383</c:v>
                </c:pt>
                <c:pt idx="795">
                  <c:v>0.88</c:v>
                </c:pt>
                <c:pt idx="796">
                  <c:v>0.293</c:v>
                </c:pt>
                <c:pt idx="797">
                  <c:v>-8.464</c:v>
                </c:pt>
                <c:pt idx="798">
                  <c:v>-9.600</c:v>
                </c:pt>
                <c:pt idx="799">
                  <c:v>-9.600</c:v>
                </c:pt>
                <c:pt idx="800">
                  <c:v>0.088</c:v>
                </c:pt>
                <c:pt idx="801">
                  <c:v>0.655</c:v>
                </c:pt>
                <c:pt idx="802">
                  <c:v>1.307</c:v>
                </c:pt>
                <c:pt idx="803">
                  <c:v>1.953</c:v>
                </c:pt>
                <c:pt idx="804">
                  <c:v>2.590</c:v>
                </c:pt>
                <c:pt idx="805">
                  <c:v>3.217</c:v>
                </c:pt>
                <c:pt idx="806">
                  <c:v>4.122</c:v>
                </c:pt>
                <c:pt idx="807">
                  <c:v>4.702</c:v>
                </c:pt>
                <c:pt idx="808">
                  <c:v>5.539</c:v>
                </c:pt>
                <c:pt idx="809">
                  <c:v>6.058</c:v>
                </c:pt>
                <c:pt idx="810">
                  <c:v>6.552</c:v>
                </c:pt>
                <c:pt idx="811">
                  <c:v>7.016</c:v>
                </c:pt>
                <c:pt idx="812">
                  <c:v>7.447</c:v>
                </c:pt>
                <c:pt idx="813">
                  <c:v>7.843</c:v>
                </c:pt>
                <c:pt idx="814">
                  <c:v>8.202</c:v>
                </c:pt>
                <c:pt idx="815">
                  <c:v>8.523</c:v>
                </c:pt>
                <c:pt idx="816">
                  <c:v>8.805</c:v>
                </c:pt>
                <c:pt idx="817">
                  <c:v>9.046</c:v>
                </c:pt>
                <c:pt idx="818">
                  <c:v>9.327</c:v>
                </c:pt>
                <c:pt idx="819">
                  <c:v>9.460</c:v>
                </c:pt>
                <c:pt idx="820">
                  <c:v>9.549</c:v>
                </c:pt>
                <c:pt idx="821">
                  <c:v>9.594</c:v>
                </c:pt>
                <c:pt idx="822">
                  <c:v>9.594</c:v>
                </c:pt>
                <c:pt idx="823">
                  <c:v>9.549</c:v>
                </c:pt>
                <c:pt idx="824">
                  <c:v>9.460</c:v>
                </c:pt>
                <c:pt idx="825">
                  <c:v>9.328</c:v>
                </c:pt>
                <c:pt idx="826">
                  <c:v>9.044</c:v>
                </c:pt>
                <c:pt idx="827">
                  <c:v>8.805</c:v>
                </c:pt>
                <c:pt idx="828">
                  <c:v>8.525</c:v>
                </c:pt>
                <c:pt idx="829">
                  <c:v>8.027</c:v>
                </c:pt>
                <c:pt idx="830">
                  <c:v>7.446</c:v>
                </c:pt>
                <c:pt idx="831">
                  <c:v>6.788</c:v>
                </c:pt>
                <c:pt idx="832">
                  <c:v>6.058</c:v>
                </c:pt>
                <c:pt idx="833">
                  <c:v>5.265</c:v>
                </c:pt>
                <c:pt idx="834">
                  <c:v>4.416</c:v>
                </c:pt>
                <c:pt idx="835">
                  <c:v>3.522</c:v>
                </c:pt>
                <c:pt idx="836">
                  <c:v>2.587</c:v>
                </c:pt>
                <c:pt idx="837">
                  <c:v>1.951</c:v>
                </c:pt>
                <c:pt idx="838">
                  <c:v>1.542</c:v>
                </c:pt>
                <c:pt idx="839">
                  <c:v>0.982</c:v>
                </c:pt>
                <c:pt idx="840">
                  <c:v>0.328</c:v>
                </c:pt>
                <c:pt idx="841">
                  <c:v>-9.480</c:v>
                </c:pt>
                <c:pt idx="842">
                  <c:v>-9.201</c:v>
                </c:pt>
                <c:pt idx="843">
                  <c:v>-1.765</c:v>
                </c:pt>
                <c:pt idx="844">
                  <c:v>1.712</c:v>
                </c:pt>
                <c:pt idx="845">
                  <c:v>3.522</c:v>
                </c:pt>
                <c:pt idx="846">
                  <c:v>3.920</c:v>
                </c:pt>
                <c:pt idx="847">
                  <c:v>4.270</c:v>
                </c:pt>
                <c:pt idx="848">
                  <c:v>4.588</c:v>
                </c:pt>
                <c:pt idx="849">
                  <c:v>4.743</c:v>
                </c:pt>
                <c:pt idx="850">
                  <c:v>4.875</c:v>
                </c:pt>
                <c:pt idx="851">
                  <c:v>5.065</c:v>
                </c:pt>
                <c:pt idx="852">
                  <c:v>5.139</c:v>
                </c:pt>
                <c:pt idx="853">
                  <c:v>5.193</c:v>
                </c:pt>
                <c:pt idx="854">
                  <c:v>5.220</c:v>
                </c:pt>
                <c:pt idx="855">
                  <c:v>5.220</c:v>
                </c:pt>
                <c:pt idx="856">
                  <c:v>5.193</c:v>
                </c:pt>
                <c:pt idx="857">
                  <c:v>5.139</c:v>
                </c:pt>
                <c:pt idx="858">
                  <c:v>4.970</c:v>
                </c:pt>
                <c:pt idx="859">
                  <c:v>4.736</c:v>
                </c:pt>
                <c:pt idx="860">
                  <c:v>4.573</c:v>
                </c:pt>
                <c:pt idx="861">
                  <c:v>4.379</c:v>
                </c:pt>
                <c:pt idx="862">
                  <c:v>4.161</c:v>
                </c:pt>
                <c:pt idx="863">
                  <c:v>3.922</c:v>
                </c:pt>
                <c:pt idx="864">
                  <c:v>3.662</c:v>
                </c:pt>
                <c:pt idx="865">
                  <c:v>3.382</c:v>
                </c:pt>
                <c:pt idx="866">
                  <c:v>3.083</c:v>
                </c:pt>
                <c:pt idx="867">
                  <c:v>2.796</c:v>
                </c:pt>
                <c:pt idx="868">
                  <c:v>2.233</c:v>
                </c:pt>
                <c:pt idx="869">
                  <c:v>1.611</c:v>
                </c:pt>
                <c:pt idx="870">
                  <c:v>0.972</c:v>
                </c:pt>
                <c:pt idx="871">
                  <c:v>0.602</c:v>
                </c:pt>
                <c:pt idx="872">
                  <c:v>0.212</c:v>
                </c:pt>
                <c:pt idx="873">
                  <c:v>#¡CAMPO!</c:v>
                </c:pt>
                <c:pt idx="874">
                  <c:v>#¡CAMPO!</c:v>
                </c:pt>
                <c:pt idx="875">
                  <c:v>-6.380</c:v>
                </c:pt>
                <c:pt idx="876">
                  <c:v>4.677</c:v>
                </c:pt>
                <c:pt idx="877">
                  <c:v>4.677</c:v>
                </c:pt>
                <c:pt idx="878">
                  <c:v>-7.289</c:v>
                </c:pt>
                <c:pt idx="879">
                  <c:v>-7.289</c:v>
                </c:pt>
                <c:pt idx="880">
                  <c:v>0.065</c:v>
                </c:pt>
                <c:pt idx="881">
                  <c:v>0.493</c:v>
                </c:pt>
                <c:pt idx="882">
                  <c:v>0.992</c:v>
                </c:pt>
                <c:pt idx="883">
                  <c:v>1.483</c:v>
                </c:pt>
                <c:pt idx="884">
                  <c:v>1.966</c:v>
                </c:pt>
                <c:pt idx="885">
                  <c:v>2.440</c:v>
                </c:pt>
                <c:pt idx="886">
                  <c:v>2.882</c:v>
                </c:pt>
                <c:pt idx="887">
                  <c:v>3.571</c:v>
                </c:pt>
                <c:pt idx="888">
                  <c:v>4.221</c:v>
                </c:pt>
                <c:pt idx="889">
                  <c:v>4.599</c:v>
                </c:pt>
                <c:pt idx="890">
                  <c:v>4.974</c:v>
                </c:pt>
                <c:pt idx="891">
                  <c:v>5.326</c:v>
                </c:pt>
                <c:pt idx="892">
                  <c:v>5.653</c:v>
                </c:pt>
                <c:pt idx="893">
                  <c:v>5.953</c:v>
                </c:pt>
                <c:pt idx="894">
                  <c:v>6.226</c:v>
                </c:pt>
                <c:pt idx="895">
                  <c:v>6.613</c:v>
                </c:pt>
                <c:pt idx="896">
                  <c:v>6.778</c:v>
                </c:pt>
                <c:pt idx="897">
                  <c:v>6.946</c:v>
                </c:pt>
                <c:pt idx="898">
                  <c:v>7.080</c:v>
                </c:pt>
                <c:pt idx="899">
                  <c:v>7.181</c:v>
                </c:pt>
                <c:pt idx="900">
                  <c:v>7.249</c:v>
                </c:pt>
                <c:pt idx="901">
                  <c:v>7.283</c:v>
                </c:pt>
                <c:pt idx="902">
                  <c:v>7.283</c:v>
                </c:pt>
                <c:pt idx="903">
                  <c:v>7.249</c:v>
                </c:pt>
                <c:pt idx="904">
                  <c:v>7.181</c:v>
                </c:pt>
                <c:pt idx="905">
                  <c:v>7.085</c:v>
                </c:pt>
                <c:pt idx="906">
                  <c:v>6.858</c:v>
                </c:pt>
                <c:pt idx="907">
                  <c:v>6.684</c:v>
                </c:pt>
                <c:pt idx="908">
                  <c:v>6.480</c:v>
                </c:pt>
                <c:pt idx="909">
                  <c:v>6.092</c:v>
                </c:pt>
                <c:pt idx="910">
                  <c:v>5.651</c:v>
                </c:pt>
                <c:pt idx="911">
                  <c:v>5.151</c:v>
                </c:pt>
                <c:pt idx="912">
                  <c:v>4.598</c:v>
                </c:pt>
                <c:pt idx="913">
                  <c:v>3.996</c:v>
                </c:pt>
                <c:pt idx="914">
                  <c:v>3.352</c:v>
                </c:pt>
                <c:pt idx="915">
                  <c:v>2.673</c:v>
                </c:pt>
                <c:pt idx="916">
                  <c:v>1.966</c:v>
                </c:pt>
                <c:pt idx="917">
                  <c:v>1.215</c:v>
                </c:pt>
                <c:pt idx="918">
                  <c:v>0.745</c:v>
                </c:pt>
                <c:pt idx="919">
                  <c:v>0.248</c:v>
                </c:pt>
                <c:pt idx="920">
                  <c:v>-7.169</c:v>
                </c:pt>
                <c:pt idx="921">
                  <c:v>-8.584</c:v>
                </c:pt>
                <c:pt idx="922">
                  <c:v>-8.584</c:v>
                </c:pt>
                <c:pt idx="923">
                  <c:v>0.089</c:v>
                </c:pt>
                <c:pt idx="924">
                  <c:v>0.583</c:v>
                </c:pt>
                <c:pt idx="925">
                  <c:v>1.169</c:v>
                </c:pt>
                <c:pt idx="926">
                  <c:v>1.746</c:v>
                </c:pt>
                <c:pt idx="927">
                  <c:v>2.316</c:v>
                </c:pt>
                <c:pt idx="928">
                  <c:v>2.874</c:v>
                </c:pt>
                <c:pt idx="929">
                  <c:v>3.408</c:v>
                </c:pt>
                <c:pt idx="930">
                  <c:v>4.206</c:v>
                </c:pt>
                <c:pt idx="931">
                  <c:v>4.960</c:v>
                </c:pt>
                <c:pt idx="932">
                  <c:v>5.417</c:v>
                </c:pt>
                <c:pt idx="933">
                  <c:v>5.859</c:v>
                </c:pt>
                <c:pt idx="934">
                  <c:v>6.273</c:v>
                </c:pt>
                <c:pt idx="935">
                  <c:v>6.658</c:v>
                </c:pt>
                <c:pt idx="936">
                  <c:v>7.013</c:v>
                </c:pt>
                <c:pt idx="937">
                  <c:v>7.334</c:v>
                </c:pt>
                <c:pt idx="938">
                  <c:v>7.624</c:v>
                </c:pt>
                <c:pt idx="939">
                  <c:v>7.791</c:v>
                </c:pt>
                <c:pt idx="940">
                  <c:v>7.984</c:v>
                </c:pt>
                <c:pt idx="941">
                  <c:v>8.181</c:v>
                </c:pt>
                <c:pt idx="942">
                  <c:v>8.339</c:v>
                </c:pt>
                <c:pt idx="943">
                  <c:v>8.459</c:v>
                </c:pt>
                <c:pt idx="944">
                  <c:v>8.539</c:v>
                </c:pt>
                <c:pt idx="945">
                  <c:v>8.579</c:v>
                </c:pt>
                <c:pt idx="946">
                  <c:v>8.579</c:v>
                </c:pt>
                <c:pt idx="947">
                  <c:v>8.539</c:v>
                </c:pt>
                <c:pt idx="948">
                  <c:v>8.459</c:v>
                </c:pt>
                <c:pt idx="949">
                  <c:v>8.342</c:v>
                </c:pt>
                <c:pt idx="950">
                  <c:v>8.084</c:v>
                </c:pt>
                <c:pt idx="951">
                  <c:v>7.873</c:v>
                </c:pt>
                <c:pt idx="952">
                  <c:v>7.626</c:v>
                </c:pt>
                <c:pt idx="953">
                  <c:v>7.177</c:v>
                </c:pt>
                <c:pt idx="954">
                  <c:v>6.658</c:v>
                </c:pt>
                <c:pt idx="955">
                  <c:v>6.069</c:v>
                </c:pt>
                <c:pt idx="956">
                  <c:v>5.416</c:v>
                </c:pt>
                <c:pt idx="957">
                  <c:v>4.707</c:v>
                </c:pt>
                <c:pt idx="958">
                  <c:v>3.949</c:v>
                </c:pt>
                <c:pt idx="959">
                  <c:v>3.149</c:v>
                </c:pt>
                <c:pt idx="960">
                  <c:v>2.316</c:v>
                </c:pt>
                <c:pt idx="961">
                  <c:v>1.446</c:v>
                </c:pt>
                <c:pt idx="962">
                  <c:v>0.878</c:v>
                </c:pt>
                <c:pt idx="963">
                  <c:v>0.293</c:v>
                </c:pt>
                <c:pt idx="964">
                  <c:v>-8.464</c:v>
                </c:pt>
                <c:pt idx="965">
                  <c:v>-9.600</c:v>
                </c:pt>
                <c:pt idx="966">
                  <c:v>-9.600</c:v>
                </c:pt>
                <c:pt idx="967">
                  <c:v>0.109</c:v>
                </c:pt>
                <c:pt idx="968">
                  <c:v>0.654</c:v>
                </c:pt>
                <c:pt idx="969">
                  <c:v>1.307</c:v>
                </c:pt>
                <c:pt idx="970">
                  <c:v>1.953</c:v>
                </c:pt>
                <c:pt idx="971">
                  <c:v>2.590</c:v>
                </c:pt>
                <c:pt idx="972">
                  <c:v>3.215</c:v>
                </c:pt>
                <c:pt idx="973">
                  <c:v>3.821</c:v>
                </c:pt>
                <c:pt idx="974">
                  <c:v>4.705</c:v>
                </c:pt>
                <c:pt idx="975">
                  <c:v>5.539</c:v>
                </c:pt>
                <c:pt idx="976">
                  <c:v>6.058</c:v>
                </c:pt>
                <c:pt idx="977">
                  <c:v>6.552</c:v>
                </c:pt>
                <c:pt idx="978">
                  <c:v>7.016</c:v>
                </c:pt>
                <c:pt idx="979">
                  <c:v>7.447</c:v>
                </c:pt>
                <c:pt idx="980">
                  <c:v>7.843</c:v>
                </c:pt>
                <c:pt idx="981">
                  <c:v>8.202</c:v>
                </c:pt>
                <c:pt idx="982">
                  <c:v>8.524</c:v>
                </c:pt>
                <c:pt idx="983">
                  <c:v>8.715</c:v>
                </c:pt>
                <c:pt idx="984">
                  <c:v>8.930</c:v>
                </c:pt>
                <c:pt idx="985">
                  <c:v>9.150</c:v>
                </c:pt>
                <c:pt idx="986">
                  <c:v>9.327</c:v>
                </c:pt>
                <c:pt idx="987">
                  <c:v>9.460</c:v>
                </c:pt>
                <c:pt idx="988">
                  <c:v>9.549</c:v>
                </c:pt>
                <c:pt idx="989">
                  <c:v>9.594</c:v>
                </c:pt>
                <c:pt idx="990">
                  <c:v>9.594</c:v>
                </c:pt>
                <c:pt idx="991">
                  <c:v>9.549</c:v>
                </c:pt>
                <c:pt idx="992">
                  <c:v>9.460</c:v>
                </c:pt>
                <c:pt idx="993">
                  <c:v>9.328</c:v>
                </c:pt>
                <c:pt idx="994">
                  <c:v>9.044</c:v>
                </c:pt>
                <c:pt idx="995">
                  <c:v>8.805</c:v>
                </c:pt>
                <c:pt idx="996">
                  <c:v>8.525</c:v>
                </c:pt>
                <c:pt idx="997">
                  <c:v>8.027</c:v>
                </c:pt>
                <c:pt idx="998">
                  <c:v>7.446</c:v>
                </c:pt>
                <c:pt idx="999">
                  <c:v>6.788</c:v>
                </c:pt>
                <c:pt idx="1000">
                  <c:v>6.058</c:v>
                </c:pt>
                <c:pt idx="1001">
                  <c:v>5.265</c:v>
                </c:pt>
                <c:pt idx="1002">
                  <c:v>4.416</c:v>
                </c:pt>
                <c:pt idx="1003">
                  <c:v>3.522</c:v>
                </c:pt>
                <c:pt idx="1004">
                  <c:v>2.590</c:v>
                </c:pt>
                <c:pt idx="1005">
                  <c:v>1.628</c:v>
                </c:pt>
                <c:pt idx="1006">
                  <c:v>0.982</c:v>
                </c:pt>
                <c:pt idx="1007">
                  <c:v>0.328</c:v>
                </c:pt>
                <c:pt idx="1008">
                  <c:v>-9.480</c:v>
                </c:pt>
                <c:pt idx="1009">
                  <c:v>-9.201</c:v>
                </c:pt>
                <c:pt idx="1010">
                  <c:v>-1.765</c:v>
                </c:pt>
                <c:pt idx="1011">
                  <c:v>1.712</c:v>
                </c:pt>
                <c:pt idx="1012">
                  <c:v>3.522</c:v>
                </c:pt>
                <c:pt idx="1013">
                  <c:v>3.920</c:v>
                </c:pt>
                <c:pt idx="1014">
                  <c:v>4.270</c:v>
                </c:pt>
                <c:pt idx="1015">
                  <c:v>4.588</c:v>
                </c:pt>
                <c:pt idx="1016">
                  <c:v>4.743</c:v>
                </c:pt>
                <c:pt idx="1017">
                  <c:v>4.875</c:v>
                </c:pt>
                <c:pt idx="1018">
                  <c:v>5.065</c:v>
                </c:pt>
                <c:pt idx="1019">
                  <c:v>5.139</c:v>
                </c:pt>
                <c:pt idx="1020">
                  <c:v>5.193</c:v>
                </c:pt>
                <c:pt idx="1021">
                  <c:v>5.220</c:v>
                </c:pt>
                <c:pt idx="1022">
                  <c:v>5.220</c:v>
                </c:pt>
                <c:pt idx="1023">
                  <c:v>5.193</c:v>
                </c:pt>
                <c:pt idx="1024">
                  <c:v>5.139</c:v>
                </c:pt>
                <c:pt idx="1025">
                  <c:v>5.058</c:v>
                </c:pt>
                <c:pt idx="1026">
                  <c:v>4.951</c:v>
                </c:pt>
                <c:pt idx="1027">
                  <c:v>4.816</c:v>
                </c:pt>
                <c:pt idx="1028">
                  <c:v>4.695</c:v>
                </c:pt>
                <c:pt idx="1029">
                  <c:v>4.369</c:v>
                </c:pt>
                <c:pt idx="1030">
                  <c:v>4.161</c:v>
                </c:pt>
                <c:pt idx="1031">
                  <c:v>3.922</c:v>
                </c:pt>
                <c:pt idx="1032">
                  <c:v>3.662</c:v>
                </c:pt>
                <c:pt idx="1033">
                  <c:v>3.382</c:v>
                </c:pt>
                <c:pt idx="1034">
                  <c:v>3.083</c:v>
                </c:pt>
                <c:pt idx="1035">
                  <c:v>2.796</c:v>
                </c:pt>
                <c:pt idx="1036">
                  <c:v>2.264</c:v>
                </c:pt>
                <c:pt idx="1037">
                  <c:v>1.700</c:v>
                </c:pt>
                <c:pt idx="1038">
                  <c:v>1.365</c:v>
                </c:pt>
                <c:pt idx="1039">
                  <c:v>0.987</c:v>
                </c:pt>
                <c:pt idx="1040">
                  <c:v>0.602</c:v>
                </c:pt>
                <c:pt idx="1041">
                  <c:v>0.212</c:v>
                </c:pt>
                <c:pt idx="1042">
                  <c:v>#¡CAMPO!</c:v>
                </c:pt>
                <c:pt idx="1043">
                  <c:v>-6.380</c:v>
                </c:pt>
                <c:pt idx="1044">
                  <c:v>4.677</c:v>
                </c:pt>
                <c:pt idx="1045">
                  <c:v>4.677</c:v>
                </c:pt>
                <c:pt idx="1046">
                  <c:v>-7.289</c:v>
                </c:pt>
                <c:pt idx="1047">
                  <c:v>-7.289</c:v>
                </c:pt>
                <c:pt idx="1048">
                  <c:v>0.084</c:v>
                </c:pt>
                <c:pt idx="1049">
                  <c:v>0.492</c:v>
                </c:pt>
                <c:pt idx="1050">
                  <c:v>0.992</c:v>
                </c:pt>
                <c:pt idx="1051">
                  <c:v>1.483</c:v>
                </c:pt>
                <c:pt idx="1052">
                  <c:v>1.966</c:v>
                </c:pt>
                <c:pt idx="1053">
                  <c:v>2.450</c:v>
                </c:pt>
                <c:pt idx="1054">
                  <c:v>3.125</c:v>
                </c:pt>
                <c:pt idx="1055">
                  <c:v>3.551</c:v>
                </c:pt>
                <c:pt idx="1056">
                  <c:v>4.221</c:v>
                </c:pt>
                <c:pt idx="1057">
                  <c:v>4.599</c:v>
                </c:pt>
                <c:pt idx="1058">
                  <c:v>4.974</c:v>
                </c:pt>
                <c:pt idx="1059">
                  <c:v>5.326</c:v>
                </c:pt>
                <c:pt idx="1060">
                  <c:v>5.653</c:v>
                </c:pt>
                <c:pt idx="1061">
                  <c:v>5.953</c:v>
                </c:pt>
                <c:pt idx="1062">
                  <c:v>6.226</c:v>
                </c:pt>
                <c:pt idx="1063">
                  <c:v>6.470</c:v>
                </c:pt>
                <c:pt idx="1064">
                  <c:v>6.684</c:v>
                </c:pt>
                <c:pt idx="1065">
                  <c:v>6.866</c:v>
                </c:pt>
                <c:pt idx="1066">
                  <c:v>7.010</c:v>
                </c:pt>
                <c:pt idx="1067">
                  <c:v>7.184</c:v>
                </c:pt>
                <c:pt idx="1068">
                  <c:v>7.249</c:v>
                </c:pt>
                <c:pt idx="1069">
                  <c:v>7.283</c:v>
                </c:pt>
                <c:pt idx="1070">
                  <c:v>7.283</c:v>
                </c:pt>
                <c:pt idx="1071">
                  <c:v>7.249</c:v>
                </c:pt>
                <c:pt idx="1072">
                  <c:v>7.181</c:v>
                </c:pt>
                <c:pt idx="1073">
                  <c:v>7.080</c:v>
                </c:pt>
                <c:pt idx="1074">
                  <c:v>6.834</c:v>
                </c:pt>
                <c:pt idx="1075">
                  <c:v>6.686</c:v>
                </c:pt>
                <c:pt idx="1076">
                  <c:v>6.480</c:v>
                </c:pt>
                <c:pt idx="1077">
                  <c:v>6.092</c:v>
                </c:pt>
                <c:pt idx="1078">
                  <c:v>5.651</c:v>
                </c:pt>
                <c:pt idx="1079">
                  <c:v>5.151</c:v>
                </c:pt>
                <c:pt idx="1080">
                  <c:v>4.598</c:v>
                </c:pt>
                <c:pt idx="1081">
                  <c:v>3.996</c:v>
                </c:pt>
                <c:pt idx="1082">
                  <c:v>3.352</c:v>
                </c:pt>
                <c:pt idx="1083">
                  <c:v>2.673</c:v>
                </c:pt>
                <c:pt idx="1084">
                  <c:v>1.966</c:v>
                </c:pt>
                <c:pt idx="1085">
                  <c:v>1.215</c:v>
                </c:pt>
                <c:pt idx="1086">
                  <c:v>0.745</c:v>
                </c:pt>
                <c:pt idx="1087">
                  <c:v>0.248</c:v>
                </c:pt>
                <c:pt idx="1088">
                  <c:v>-7.169</c:v>
                </c:pt>
                <c:pt idx="1089">
                  <c:v>-8.584</c:v>
                </c:pt>
                <c:pt idx="1090">
                  <c:v>-8.584</c:v>
                </c:pt>
                <c:pt idx="1091">
                  <c:v>0.109</c:v>
                </c:pt>
                <c:pt idx="1092">
                  <c:v>0.583</c:v>
                </c:pt>
                <c:pt idx="1093">
                  <c:v>1.169</c:v>
                </c:pt>
                <c:pt idx="1094">
                  <c:v>1.746</c:v>
                </c:pt>
                <c:pt idx="1095">
                  <c:v>2.316</c:v>
                </c:pt>
                <c:pt idx="1096">
                  <c:v>2.879</c:v>
                </c:pt>
                <c:pt idx="1097">
                  <c:v>3.684</c:v>
                </c:pt>
                <c:pt idx="1098">
                  <c:v>4.196</c:v>
                </c:pt>
                <c:pt idx="1099">
                  <c:v>4.960</c:v>
                </c:pt>
                <c:pt idx="1100">
                  <c:v>5.417</c:v>
                </c:pt>
                <c:pt idx="1101">
                  <c:v>5.859</c:v>
                </c:pt>
                <c:pt idx="1102">
                  <c:v>6.273</c:v>
                </c:pt>
                <c:pt idx="1103">
                  <c:v>6.658</c:v>
                </c:pt>
                <c:pt idx="1104">
                  <c:v>7.013</c:v>
                </c:pt>
                <c:pt idx="1105">
                  <c:v>7.334</c:v>
                </c:pt>
                <c:pt idx="1106">
                  <c:v>7.621</c:v>
                </c:pt>
                <c:pt idx="1107">
                  <c:v>7.873</c:v>
                </c:pt>
                <c:pt idx="1108">
                  <c:v>8.088</c:v>
                </c:pt>
                <c:pt idx="1109">
                  <c:v>8.262</c:v>
                </c:pt>
                <c:pt idx="1110">
                  <c:v>8.460</c:v>
                </c:pt>
                <c:pt idx="1111">
                  <c:v>8.539</c:v>
                </c:pt>
                <c:pt idx="1112">
                  <c:v>8.579</c:v>
                </c:pt>
                <c:pt idx="1113">
                  <c:v>8.579</c:v>
                </c:pt>
                <c:pt idx="1114">
                  <c:v>8.539</c:v>
                </c:pt>
                <c:pt idx="1115">
                  <c:v>8.459</c:v>
                </c:pt>
                <c:pt idx="1116">
                  <c:v>8.339</c:v>
                </c:pt>
                <c:pt idx="1117">
                  <c:v>8.180</c:v>
                </c:pt>
                <c:pt idx="1118">
                  <c:v>8.048</c:v>
                </c:pt>
                <c:pt idx="1119">
                  <c:v>7.874</c:v>
                </c:pt>
                <c:pt idx="1120">
                  <c:v>7.626</c:v>
                </c:pt>
                <c:pt idx="1121">
                  <c:v>7.177</c:v>
                </c:pt>
                <c:pt idx="1122">
                  <c:v>6.658</c:v>
                </c:pt>
                <c:pt idx="1123">
                  <c:v>6.069</c:v>
                </c:pt>
                <c:pt idx="1124">
                  <c:v>5.416</c:v>
                </c:pt>
                <c:pt idx="1125">
                  <c:v>4.707</c:v>
                </c:pt>
                <c:pt idx="1126">
                  <c:v>3.949</c:v>
                </c:pt>
                <c:pt idx="1127">
                  <c:v>3.149</c:v>
                </c:pt>
                <c:pt idx="1128">
                  <c:v>2.316</c:v>
                </c:pt>
                <c:pt idx="1129">
                  <c:v>1.446</c:v>
                </c:pt>
                <c:pt idx="1130">
                  <c:v>0.878</c:v>
                </c:pt>
                <c:pt idx="1131">
                  <c:v>0.293</c:v>
                </c:pt>
                <c:pt idx="1132">
                  <c:v>-8.464</c:v>
                </c:pt>
                <c:pt idx="1133">
                  <c:v>-9.600</c:v>
                </c:pt>
                <c:pt idx="1134">
                  <c:v>-9.600</c:v>
                </c:pt>
                <c:pt idx="1135">
                  <c:v>0.129</c:v>
                </c:pt>
                <c:pt idx="1136">
                  <c:v>0.654</c:v>
                </c:pt>
                <c:pt idx="1137">
                  <c:v>1.307</c:v>
                </c:pt>
                <c:pt idx="1138">
                  <c:v>1.953</c:v>
                </c:pt>
                <c:pt idx="1139">
                  <c:v>2.590</c:v>
                </c:pt>
                <c:pt idx="1140">
                  <c:v>3.216</c:v>
                </c:pt>
                <c:pt idx="1141">
                  <c:v>4.122</c:v>
                </c:pt>
                <c:pt idx="1142">
                  <c:v>4.702</c:v>
                </c:pt>
                <c:pt idx="1143">
                  <c:v>5.539</c:v>
                </c:pt>
                <c:pt idx="1144">
                  <c:v>6.058</c:v>
                </c:pt>
                <c:pt idx="1145">
                  <c:v>6.552</c:v>
                </c:pt>
                <c:pt idx="1146">
                  <c:v>7.016</c:v>
                </c:pt>
                <c:pt idx="1147">
                  <c:v>7.447</c:v>
                </c:pt>
                <c:pt idx="1148">
                  <c:v>7.843</c:v>
                </c:pt>
                <c:pt idx="1149">
                  <c:v>8.202</c:v>
                </c:pt>
                <c:pt idx="1150">
                  <c:v>8.523</c:v>
                </c:pt>
                <c:pt idx="1151">
                  <c:v>8.805</c:v>
                </c:pt>
                <c:pt idx="1152">
                  <c:v>9.045</c:v>
                </c:pt>
                <c:pt idx="1153">
                  <c:v>9.243</c:v>
                </c:pt>
                <c:pt idx="1154">
                  <c:v>9.461</c:v>
                </c:pt>
                <c:pt idx="1155">
                  <c:v>9.549</c:v>
                </c:pt>
                <c:pt idx="1156">
                  <c:v>9.594</c:v>
                </c:pt>
                <c:pt idx="1157">
                  <c:v>9.594</c:v>
                </c:pt>
                <c:pt idx="1158">
                  <c:v>9.549</c:v>
                </c:pt>
                <c:pt idx="1159">
                  <c:v>9.460</c:v>
                </c:pt>
                <c:pt idx="1160">
                  <c:v>9.327</c:v>
                </c:pt>
                <c:pt idx="1161">
                  <c:v>9.150</c:v>
                </c:pt>
                <c:pt idx="1162">
                  <c:v>9.000</c:v>
                </c:pt>
                <c:pt idx="1163">
                  <c:v>8.805</c:v>
                </c:pt>
                <c:pt idx="1164">
                  <c:v>8.525</c:v>
                </c:pt>
                <c:pt idx="1165">
                  <c:v>8.027</c:v>
                </c:pt>
                <c:pt idx="1166">
                  <c:v>7.446</c:v>
                </c:pt>
                <c:pt idx="1167">
                  <c:v>6.788</c:v>
                </c:pt>
                <c:pt idx="1168">
                  <c:v>6.058</c:v>
                </c:pt>
                <c:pt idx="1169">
                  <c:v>5.265</c:v>
                </c:pt>
                <c:pt idx="1170">
                  <c:v>4.416</c:v>
                </c:pt>
                <c:pt idx="1171">
                  <c:v>3.522</c:v>
                </c:pt>
                <c:pt idx="1172">
                  <c:v>2.590</c:v>
                </c:pt>
                <c:pt idx="1173">
                  <c:v>1.628</c:v>
                </c:pt>
                <c:pt idx="1174">
                  <c:v>0.982</c:v>
                </c:pt>
                <c:pt idx="1175">
                  <c:v>0.328</c:v>
                </c:pt>
                <c:pt idx="1176">
                  <c:v>-9.480</c:v>
                </c:pt>
                <c:pt idx="1177">
                  <c:v>-9.201</c:v>
                </c:pt>
                <c:pt idx="1178">
                  <c:v>-1.765</c:v>
                </c:pt>
                <c:pt idx="1179">
                  <c:v>1.712</c:v>
                </c:pt>
                <c:pt idx="1180">
                  <c:v>3.522</c:v>
                </c:pt>
                <c:pt idx="1181">
                  <c:v>3.920</c:v>
                </c:pt>
                <c:pt idx="1182">
                  <c:v>4.270</c:v>
                </c:pt>
                <c:pt idx="1183">
                  <c:v>4.588</c:v>
                </c:pt>
                <c:pt idx="1184">
                  <c:v>4.854</c:v>
                </c:pt>
                <c:pt idx="1185">
                  <c:v>5.062</c:v>
                </c:pt>
                <c:pt idx="1186">
                  <c:v>5.139</c:v>
                </c:pt>
                <c:pt idx="1187">
                  <c:v>5.193</c:v>
                </c:pt>
                <c:pt idx="1188">
                  <c:v>5.220</c:v>
                </c:pt>
                <c:pt idx="1189">
                  <c:v>5.220</c:v>
                </c:pt>
                <c:pt idx="1190">
                  <c:v>5.193</c:v>
                </c:pt>
                <c:pt idx="1191">
                  <c:v>5.144</c:v>
                </c:pt>
                <c:pt idx="1192">
                  <c:v>4.997</c:v>
                </c:pt>
                <c:pt idx="1193">
                  <c:v>4.888</c:v>
                </c:pt>
                <c:pt idx="1194">
                  <c:v>4.743</c:v>
                </c:pt>
                <c:pt idx="1195">
                  <c:v>4.573</c:v>
                </c:pt>
                <c:pt idx="1196">
                  <c:v>4.379</c:v>
                </c:pt>
                <c:pt idx="1197">
                  <c:v>4.161</c:v>
                </c:pt>
                <c:pt idx="1198">
                  <c:v>3.922</c:v>
                </c:pt>
                <c:pt idx="1199">
                  <c:v>3.662</c:v>
                </c:pt>
                <c:pt idx="1200">
                  <c:v>3.382</c:v>
                </c:pt>
                <c:pt idx="1201">
                  <c:v>3.083</c:v>
                </c:pt>
                <c:pt idx="1202">
                  <c:v>2.796</c:v>
                </c:pt>
                <c:pt idx="1203">
                  <c:v>2.233</c:v>
                </c:pt>
                <c:pt idx="1204">
                  <c:v>1.906</c:v>
                </c:pt>
                <c:pt idx="1205">
                  <c:v>1.641</c:v>
                </c:pt>
                <c:pt idx="1206">
                  <c:v>0.97</c:v>
                </c:pt>
                <c:pt idx="1207">
                  <c:v>0.602</c:v>
                </c:pt>
                <c:pt idx="1208">
                  <c:v>0.212</c:v>
                </c:pt>
                <c:pt idx="1209">
                  <c:v>#¡CAMPO!</c:v>
                </c:pt>
                <c:pt idx="1210">
                  <c:v>-6.380</c:v>
                </c:pt>
                <c:pt idx="1211">
                  <c:v>4.677</c:v>
                </c:pt>
                <c:pt idx="1212">
                  <c:v>4.677</c:v>
                </c:pt>
                <c:pt idx="1213">
                  <c:v>-7.289</c:v>
                </c:pt>
                <c:pt idx="1214">
                  <c:v>-7.289</c:v>
                </c:pt>
                <c:pt idx="1215">
                  <c:v>0.103</c:v>
                </c:pt>
                <c:pt idx="1216">
                  <c:v>0.49</c:v>
                </c:pt>
                <c:pt idx="1217">
                  <c:v>0.992</c:v>
                </c:pt>
                <c:pt idx="1218">
                  <c:v>1.483</c:v>
                </c:pt>
                <c:pt idx="1219">
                  <c:v>1.966</c:v>
                </c:pt>
                <c:pt idx="1220">
                  <c:v>2.448</c:v>
                </c:pt>
                <c:pt idx="1221">
                  <c:v>3.124</c:v>
                </c:pt>
                <c:pt idx="1222">
                  <c:v>3.551</c:v>
                </c:pt>
                <c:pt idx="1223">
                  <c:v>4.221</c:v>
                </c:pt>
                <c:pt idx="1224">
                  <c:v>4.599</c:v>
                </c:pt>
                <c:pt idx="1225">
                  <c:v>4.974</c:v>
                </c:pt>
                <c:pt idx="1226">
                  <c:v>5.326</c:v>
                </c:pt>
                <c:pt idx="1227">
                  <c:v>5.653</c:v>
                </c:pt>
                <c:pt idx="1228">
                  <c:v>5.953</c:v>
                </c:pt>
                <c:pt idx="1229">
                  <c:v>6.226</c:v>
                </c:pt>
                <c:pt idx="1230">
                  <c:v>6.474</c:v>
                </c:pt>
                <c:pt idx="1231">
                  <c:v>6.628</c:v>
                </c:pt>
                <c:pt idx="1232">
                  <c:v>6.777</c:v>
                </c:pt>
                <c:pt idx="1233">
                  <c:v>6.946</c:v>
                </c:pt>
                <c:pt idx="1234">
                  <c:v>7.080</c:v>
                </c:pt>
                <c:pt idx="1235">
                  <c:v>7.181</c:v>
                </c:pt>
                <c:pt idx="1236">
                  <c:v>7.249</c:v>
                </c:pt>
                <c:pt idx="1237">
                  <c:v>7.283</c:v>
                </c:pt>
                <c:pt idx="1238">
                  <c:v>7.283</c:v>
                </c:pt>
                <c:pt idx="1239">
                  <c:v>7.249</c:v>
                </c:pt>
                <c:pt idx="1240">
                  <c:v>7.181</c:v>
                </c:pt>
                <c:pt idx="1241">
                  <c:v>7.085</c:v>
                </c:pt>
                <c:pt idx="1242">
                  <c:v>6.858</c:v>
                </c:pt>
                <c:pt idx="1243">
                  <c:v>6.684</c:v>
                </c:pt>
                <c:pt idx="1244">
                  <c:v>6.480</c:v>
                </c:pt>
                <c:pt idx="1245">
                  <c:v>6.092</c:v>
                </c:pt>
                <c:pt idx="1246">
                  <c:v>5.651</c:v>
                </c:pt>
                <c:pt idx="1247">
                  <c:v>5.151</c:v>
                </c:pt>
                <c:pt idx="1248">
                  <c:v>4.598</c:v>
                </c:pt>
                <c:pt idx="1249">
                  <c:v>3.996</c:v>
                </c:pt>
                <c:pt idx="1250">
                  <c:v>3.352</c:v>
                </c:pt>
                <c:pt idx="1251">
                  <c:v>2.673</c:v>
                </c:pt>
                <c:pt idx="1252">
                  <c:v>1.944</c:v>
                </c:pt>
                <c:pt idx="1253">
                  <c:v>1.474</c:v>
                </c:pt>
                <c:pt idx="1254">
                  <c:v>1.127</c:v>
                </c:pt>
                <c:pt idx="1255">
                  <c:v>0.752</c:v>
                </c:pt>
                <c:pt idx="1256">
                  <c:v>0.248</c:v>
                </c:pt>
                <c:pt idx="1257">
                  <c:v>-7.169</c:v>
                </c:pt>
                <c:pt idx="1258">
                  <c:v>-8.584</c:v>
                </c:pt>
                <c:pt idx="1259">
                  <c:v>-8.584</c:v>
                </c:pt>
                <c:pt idx="1260">
                  <c:v>0.129</c:v>
                </c:pt>
                <c:pt idx="1261">
                  <c:v>0.582</c:v>
                </c:pt>
                <c:pt idx="1262">
                  <c:v>1.169</c:v>
                </c:pt>
                <c:pt idx="1263">
                  <c:v>1.746</c:v>
                </c:pt>
                <c:pt idx="1264">
                  <c:v>2.316</c:v>
                </c:pt>
                <c:pt idx="1265">
                  <c:v>2.879</c:v>
                </c:pt>
                <c:pt idx="1266">
                  <c:v>3.683</c:v>
                </c:pt>
                <c:pt idx="1267">
                  <c:v>4.196</c:v>
                </c:pt>
                <c:pt idx="1268">
                  <c:v>4.960</c:v>
                </c:pt>
                <c:pt idx="1269">
                  <c:v>5.417</c:v>
                </c:pt>
                <c:pt idx="1270">
                  <c:v>5.859</c:v>
                </c:pt>
                <c:pt idx="1271">
                  <c:v>6.273</c:v>
                </c:pt>
                <c:pt idx="1272">
                  <c:v>6.658</c:v>
                </c:pt>
                <c:pt idx="1273">
                  <c:v>7.013</c:v>
                </c:pt>
                <c:pt idx="1274">
                  <c:v>7.334</c:v>
                </c:pt>
                <c:pt idx="1275">
                  <c:v>7.623</c:v>
                </c:pt>
                <c:pt idx="1276">
                  <c:v>7.807</c:v>
                </c:pt>
                <c:pt idx="1277">
                  <c:v>7.984</c:v>
                </c:pt>
                <c:pt idx="1278">
                  <c:v>8.181</c:v>
                </c:pt>
                <c:pt idx="1279">
                  <c:v>8.339</c:v>
                </c:pt>
                <c:pt idx="1280">
                  <c:v>8.459</c:v>
                </c:pt>
                <c:pt idx="1281">
                  <c:v>8.539</c:v>
                </c:pt>
                <c:pt idx="1282">
                  <c:v>8.579</c:v>
                </c:pt>
                <c:pt idx="1283">
                  <c:v>8.579</c:v>
                </c:pt>
                <c:pt idx="1284">
                  <c:v>8.539</c:v>
                </c:pt>
                <c:pt idx="1285">
                  <c:v>8.459</c:v>
                </c:pt>
                <c:pt idx="1286">
                  <c:v>8.342</c:v>
                </c:pt>
                <c:pt idx="1287">
                  <c:v>8.084</c:v>
                </c:pt>
                <c:pt idx="1288">
                  <c:v>7.873</c:v>
                </c:pt>
                <c:pt idx="1289">
                  <c:v>7.626</c:v>
                </c:pt>
                <c:pt idx="1290">
                  <c:v>7.177</c:v>
                </c:pt>
                <c:pt idx="1291">
                  <c:v>6.658</c:v>
                </c:pt>
                <c:pt idx="1292">
                  <c:v>6.069</c:v>
                </c:pt>
                <c:pt idx="1293">
                  <c:v>5.416</c:v>
                </c:pt>
                <c:pt idx="1294">
                  <c:v>4.707</c:v>
                </c:pt>
                <c:pt idx="1295">
                  <c:v>3.949</c:v>
                </c:pt>
                <c:pt idx="1296">
                  <c:v>3.149</c:v>
                </c:pt>
                <c:pt idx="1297">
                  <c:v>2.304</c:v>
                </c:pt>
                <c:pt idx="1298">
                  <c:v>1.742</c:v>
                </c:pt>
                <c:pt idx="1299">
                  <c:v>1.326</c:v>
                </c:pt>
                <c:pt idx="1300">
                  <c:v>0.881</c:v>
                </c:pt>
                <c:pt idx="1301">
                  <c:v>0.293</c:v>
                </c:pt>
                <c:pt idx="1302">
                  <c:v>-8.464</c:v>
                </c:pt>
                <c:pt idx="1303">
                  <c:v>-9.600</c:v>
                </c:pt>
                <c:pt idx="1304">
                  <c:v>-9.600</c:v>
                </c:pt>
                <c:pt idx="1305">
                  <c:v>0.149</c:v>
                </c:pt>
                <c:pt idx="1306">
                  <c:v>0.654</c:v>
                </c:pt>
                <c:pt idx="1307">
                  <c:v>1.307</c:v>
                </c:pt>
                <c:pt idx="1308">
                  <c:v>1.953</c:v>
                </c:pt>
                <c:pt idx="1309">
                  <c:v>2.590</c:v>
                </c:pt>
                <c:pt idx="1310">
                  <c:v>3.216</c:v>
                </c:pt>
                <c:pt idx="1311">
                  <c:v>4.122</c:v>
                </c:pt>
                <c:pt idx="1312">
                  <c:v>4.702</c:v>
                </c:pt>
                <c:pt idx="1313">
                  <c:v>5.539</c:v>
                </c:pt>
                <c:pt idx="1314">
                  <c:v>6.058</c:v>
                </c:pt>
                <c:pt idx="1315">
                  <c:v>6.552</c:v>
                </c:pt>
                <c:pt idx="1316">
                  <c:v>7.016</c:v>
                </c:pt>
                <c:pt idx="1317">
                  <c:v>7.447</c:v>
                </c:pt>
                <c:pt idx="1318">
                  <c:v>7.843</c:v>
                </c:pt>
                <c:pt idx="1319">
                  <c:v>8.202</c:v>
                </c:pt>
                <c:pt idx="1320">
                  <c:v>8.524</c:v>
                </c:pt>
                <c:pt idx="1321">
                  <c:v>8.732</c:v>
                </c:pt>
                <c:pt idx="1322">
                  <c:v>8.930</c:v>
                </c:pt>
                <c:pt idx="1323">
                  <c:v>9.150</c:v>
                </c:pt>
                <c:pt idx="1324">
                  <c:v>9.327</c:v>
                </c:pt>
                <c:pt idx="1325">
                  <c:v>9.460</c:v>
                </c:pt>
                <c:pt idx="1326">
                  <c:v>9.549</c:v>
                </c:pt>
                <c:pt idx="1327">
                  <c:v>9.594</c:v>
                </c:pt>
                <c:pt idx="1328">
                  <c:v>9.594</c:v>
                </c:pt>
                <c:pt idx="1329">
                  <c:v>9.549</c:v>
                </c:pt>
                <c:pt idx="1330">
                  <c:v>9.460</c:v>
                </c:pt>
                <c:pt idx="1331">
                  <c:v>9.328</c:v>
                </c:pt>
                <c:pt idx="1332">
                  <c:v>9.044</c:v>
                </c:pt>
                <c:pt idx="1333">
                  <c:v>8.805</c:v>
                </c:pt>
                <c:pt idx="1334">
                  <c:v>8.525</c:v>
                </c:pt>
                <c:pt idx="1335">
                  <c:v>8.027</c:v>
                </c:pt>
                <c:pt idx="1336">
                  <c:v>7.446</c:v>
                </c:pt>
                <c:pt idx="1337">
                  <c:v>6.788</c:v>
                </c:pt>
                <c:pt idx="1338">
                  <c:v>6.058</c:v>
                </c:pt>
                <c:pt idx="1339">
                  <c:v>5.265</c:v>
                </c:pt>
                <c:pt idx="1340">
                  <c:v>4.416</c:v>
                </c:pt>
                <c:pt idx="1341">
                  <c:v>3.522</c:v>
                </c:pt>
                <c:pt idx="1342">
                  <c:v>2.587</c:v>
                </c:pt>
                <c:pt idx="1343">
                  <c:v>1.952</c:v>
                </c:pt>
                <c:pt idx="1344">
                  <c:v>1.482</c:v>
                </c:pt>
                <c:pt idx="1345">
                  <c:v>0.983</c:v>
                </c:pt>
                <c:pt idx="1346">
                  <c:v>0.328</c:v>
                </c:pt>
                <c:pt idx="1347">
                  <c:v>-9.480</c:v>
                </c:pt>
                <c:pt idx="1348">
                  <c:v>-9.201</c:v>
                </c:pt>
                <c:pt idx="1349">
                  <c:v>-1.765</c:v>
                </c:pt>
                <c:pt idx="1350">
                  <c:v>1.712</c:v>
                </c:pt>
                <c:pt idx="1351">
                  <c:v>3.522</c:v>
                </c:pt>
                <c:pt idx="1352">
                  <c:v>3.920</c:v>
                </c:pt>
                <c:pt idx="1353">
                  <c:v>4.270</c:v>
                </c:pt>
                <c:pt idx="1354">
                  <c:v>4.588</c:v>
                </c:pt>
                <c:pt idx="1355">
                  <c:v>4.743</c:v>
                </c:pt>
                <c:pt idx="1356">
                  <c:v>4.875</c:v>
                </c:pt>
                <c:pt idx="1357">
                  <c:v>5.065</c:v>
                </c:pt>
                <c:pt idx="1358">
                  <c:v>5.139</c:v>
                </c:pt>
                <c:pt idx="1359">
                  <c:v>5.193</c:v>
                </c:pt>
                <c:pt idx="1360">
                  <c:v>5.220</c:v>
                </c:pt>
                <c:pt idx="1361">
                  <c:v>5.220</c:v>
                </c:pt>
                <c:pt idx="1362">
                  <c:v>5.193</c:v>
                </c:pt>
                <c:pt idx="1363">
                  <c:v>5.139</c:v>
                </c:pt>
                <c:pt idx="1364">
                  <c:v>5.058</c:v>
                </c:pt>
                <c:pt idx="1365">
                  <c:v>4.951</c:v>
                </c:pt>
                <c:pt idx="1366">
                  <c:v>4.698</c:v>
                </c:pt>
                <c:pt idx="1367">
                  <c:v>4.379</c:v>
                </c:pt>
                <c:pt idx="1368">
                  <c:v>4.161</c:v>
                </c:pt>
                <c:pt idx="1369">
                  <c:v>3.922</c:v>
                </c:pt>
                <c:pt idx="1370">
                  <c:v>3.662</c:v>
                </c:pt>
                <c:pt idx="1371">
                  <c:v>3.382</c:v>
                </c:pt>
                <c:pt idx="1372">
                  <c:v>3.083</c:v>
                </c:pt>
                <c:pt idx="1373">
                  <c:v>2.796</c:v>
                </c:pt>
                <c:pt idx="1374">
                  <c:v>2.233</c:v>
                </c:pt>
                <c:pt idx="1375">
                  <c:v>1.904</c:v>
                </c:pt>
                <c:pt idx="1376">
                  <c:v>1.377</c:v>
                </c:pt>
                <c:pt idx="1377">
                  <c:v>0.987</c:v>
                </c:pt>
                <c:pt idx="1378">
                  <c:v>0.602</c:v>
                </c:pt>
                <c:pt idx="1379">
                  <c:v>0.212</c:v>
                </c:pt>
                <c:pt idx="1380">
                  <c:v>#¡CAMPO!</c:v>
                </c:pt>
                <c:pt idx="1381">
                  <c:v>-6.380</c:v>
                </c:pt>
                <c:pt idx="1382">
                  <c:v>4.677</c:v>
                </c:pt>
                <c:pt idx="1383">
                  <c:v>4.677</c:v>
                </c:pt>
                <c:pt idx="1384">
                  <c:v>-7.289</c:v>
                </c:pt>
                <c:pt idx="1385">
                  <c:v>-7.289</c:v>
                </c:pt>
                <c:pt idx="1386">
                  <c:v>0.123</c:v>
                </c:pt>
                <c:pt idx="1387">
                  <c:v>0.489</c:v>
                </c:pt>
                <c:pt idx="1388">
                  <c:v>0.992</c:v>
                </c:pt>
                <c:pt idx="1389">
                  <c:v>1.483</c:v>
                </c:pt>
                <c:pt idx="1390">
                  <c:v>1.966</c:v>
                </c:pt>
                <c:pt idx="1391">
                  <c:v>2.447</c:v>
                </c:pt>
                <c:pt idx="1392">
                  <c:v>3.122</c:v>
                </c:pt>
                <c:pt idx="1393">
                  <c:v>3.551</c:v>
                </c:pt>
                <c:pt idx="1394">
                  <c:v>4.221</c:v>
                </c:pt>
                <c:pt idx="1395">
                  <c:v>4.599</c:v>
                </c:pt>
                <c:pt idx="1396">
                  <c:v>4.974</c:v>
                </c:pt>
                <c:pt idx="1397">
                  <c:v>5.326</c:v>
                </c:pt>
                <c:pt idx="1398">
                  <c:v>5.653</c:v>
                </c:pt>
                <c:pt idx="1399">
                  <c:v>5.953</c:v>
                </c:pt>
                <c:pt idx="1400">
                  <c:v>6.226</c:v>
                </c:pt>
                <c:pt idx="1401">
                  <c:v>6.470</c:v>
                </c:pt>
                <c:pt idx="1402">
                  <c:v>6.684</c:v>
                </c:pt>
                <c:pt idx="1403">
                  <c:v>6.866</c:v>
                </c:pt>
                <c:pt idx="1404">
                  <c:v>7.010</c:v>
                </c:pt>
                <c:pt idx="1405">
                  <c:v>7.184</c:v>
                </c:pt>
                <c:pt idx="1406">
                  <c:v>7.249</c:v>
                </c:pt>
                <c:pt idx="1407">
                  <c:v>7.283</c:v>
                </c:pt>
                <c:pt idx="1408">
                  <c:v>7.283</c:v>
                </c:pt>
                <c:pt idx="1409">
                  <c:v>7.249</c:v>
                </c:pt>
                <c:pt idx="1410">
                  <c:v>7.181</c:v>
                </c:pt>
                <c:pt idx="1411">
                  <c:v>7.085</c:v>
                </c:pt>
                <c:pt idx="1412">
                  <c:v>6.858</c:v>
                </c:pt>
                <c:pt idx="1413">
                  <c:v>6.684</c:v>
                </c:pt>
                <c:pt idx="1414">
                  <c:v>6.480</c:v>
                </c:pt>
                <c:pt idx="1415">
                  <c:v>6.092</c:v>
                </c:pt>
                <c:pt idx="1416">
                  <c:v>5.651</c:v>
                </c:pt>
                <c:pt idx="1417">
                  <c:v>5.151</c:v>
                </c:pt>
                <c:pt idx="1418">
                  <c:v>4.598</c:v>
                </c:pt>
                <c:pt idx="1419">
                  <c:v>3.996</c:v>
                </c:pt>
                <c:pt idx="1420">
                  <c:v>3.352</c:v>
                </c:pt>
                <c:pt idx="1421">
                  <c:v>2.673</c:v>
                </c:pt>
                <c:pt idx="1422">
                  <c:v>1.944</c:v>
                </c:pt>
                <c:pt idx="1423">
                  <c:v>1.476</c:v>
                </c:pt>
                <c:pt idx="1424">
                  <c:v>1.109</c:v>
                </c:pt>
                <c:pt idx="1425">
                  <c:v>0.753</c:v>
                </c:pt>
                <c:pt idx="1426">
                  <c:v>0.248</c:v>
                </c:pt>
                <c:pt idx="1427">
                  <c:v>-7.169</c:v>
                </c:pt>
                <c:pt idx="1428">
                  <c:v>-8.584</c:v>
                </c:pt>
                <c:pt idx="1429">
                  <c:v>-8.584</c:v>
                </c:pt>
                <c:pt idx="1430">
                  <c:v>0.149</c:v>
                </c:pt>
                <c:pt idx="1431">
                  <c:v>0.582</c:v>
                </c:pt>
                <c:pt idx="1432">
                  <c:v>1.169</c:v>
                </c:pt>
                <c:pt idx="1433">
                  <c:v>1.746</c:v>
                </c:pt>
                <c:pt idx="1434">
                  <c:v>2.316</c:v>
                </c:pt>
                <c:pt idx="1435">
                  <c:v>2.878</c:v>
                </c:pt>
                <c:pt idx="1436">
                  <c:v>3.683</c:v>
                </c:pt>
                <c:pt idx="1437">
                  <c:v>4.196</c:v>
                </c:pt>
                <c:pt idx="1438">
                  <c:v>4.960</c:v>
                </c:pt>
                <c:pt idx="1439">
                  <c:v>5.417</c:v>
                </c:pt>
                <c:pt idx="1440">
                  <c:v>5.859</c:v>
                </c:pt>
                <c:pt idx="1441">
                  <c:v>6.273</c:v>
                </c:pt>
                <c:pt idx="1442">
                  <c:v>6.658</c:v>
                </c:pt>
                <c:pt idx="1443">
                  <c:v>7.013</c:v>
                </c:pt>
                <c:pt idx="1444">
                  <c:v>7.334</c:v>
                </c:pt>
                <c:pt idx="1445">
                  <c:v>7.621</c:v>
                </c:pt>
                <c:pt idx="1446">
                  <c:v>7.873</c:v>
                </c:pt>
                <c:pt idx="1447">
                  <c:v>8.088</c:v>
                </c:pt>
                <c:pt idx="1448">
                  <c:v>8.262</c:v>
                </c:pt>
                <c:pt idx="1449">
                  <c:v>8.460</c:v>
                </c:pt>
                <c:pt idx="1450">
                  <c:v>8.539</c:v>
                </c:pt>
                <c:pt idx="1451">
                  <c:v>8.579</c:v>
                </c:pt>
                <c:pt idx="1452">
                  <c:v>8.579</c:v>
                </c:pt>
                <c:pt idx="1453">
                  <c:v>8.539</c:v>
                </c:pt>
                <c:pt idx="1454">
                  <c:v>8.459</c:v>
                </c:pt>
                <c:pt idx="1455">
                  <c:v>8.342</c:v>
                </c:pt>
                <c:pt idx="1456">
                  <c:v>8.084</c:v>
                </c:pt>
                <c:pt idx="1457">
                  <c:v>7.873</c:v>
                </c:pt>
                <c:pt idx="1458">
                  <c:v>7.626</c:v>
                </c:pt>
                <c:pt idx="1459">
                  <c:v>7.177</c:v>
                </c:pt>
                <c:pt idx="1460">
                  <c:v>6.658</c:v>
                </c:pt>
                <c:pt idx="1461">
                  <c:v>6.069</c:v>
                </c:pt>
                <c:pt idx="1462">
                  <c:v>5.416</c:v>
                </c:pt>
                <c:pt idx="1463">
                  <c:v>4.707</c:v>
                </c:pt>
                <c:pt idx="1464">
                  <c:v>3.949</c:v>
                </c:pt>
                <c:pt idx="1465">
                  <c:v>3.149</c:v>
                </c:pt>
                <c:pt idx="1466">
                  <c:v>2.304</c:v>
                </c:pt>
                <c:pt idx="1467">
                  <c:v>1.743</c:v>
                </c:pt>
                <c:pt idx="1468">
                  <c:v>1.307</c:v>
                </c:pt>
                <c:pt idx="1469">
                  <c:v>0.882</c:v>
                </c:pt>
                <c:pt idx="1470">
                  <c:v>0.293</c:v>
                </c:pt>
                <c:pt idx="1471">
                  <c:v>-8.464</c:v>
                </c:pt>
                <c:pt idx="1472">
                  <c:v>-9.600</c:v>
                </c:pt>
                <c:pt idx="1473">
                  <c:v>-9.600</c:v>
                </c:pt>
                <c:pt idx="1474">
                  <c:v>0.169</c:v>
                </c:pt>
                <c:pt idx="1475">
                  <c:v>0.654</c:v>
                </c:pt>
                <c:pt idx="1476">
                  <c:v>1.307</c:v>
                </c:pt>
                <c:pt idx="1477">
                  <c:v>1.953</c:v>
                </c:pt>
                <c:pt idx="1478">
                  <c:v>2.590</c:v>
                </c:pt>
                <c:pt idx="1479">
                  <c:v>3.216</c:v>
                </c:pt>
                <c:pt idx="1480">
                  <c:v>4.122</c:v>
                </c:pt>
                <c:pt idx="1481">
                  <c:v>4.702</c:v>
                </c:pt>
                <c:pt idx="1482">
                  <c:v>5.539</c:v>
                </c:pt>
                <c:pt idx="1483">
                  <c:v>6.058</c:v>
                </c:pt>
                <c:pt idx="1484">
                  <c:v>6.552</c:v>
                </c:pt>
                <c:pt idx="1485">
                  <c:v>7.016</c:v>
                </c:pt>
                <c:pt idx="1486">
                  <c:v>7.447</c:v>
                </c:pt>
                <c:pt idx="1487">
                  <c:v>7.843</c:v>
                </c:pt>
                <c:pt idx="1488">
                  <c:v>8.202</c:v>
                </c:pt>
                <c:pt idx="1489">
                  <c:v>8.523</c:v>
                </c:pt>
                <c:pt idx="1490">
                  <c:v>8.805</c:v>
                </c:pt>
                <c:pt idx="1491">
                  <c:v>9.045</c:v>
                </c:pt>
                <c:pt idx="1492">
                  <c:v>9.243</c:v>
                </c:pt>
                <c:pt idx="1493">
                  <c:v>9.461</c:v>
                </c:pt>
                <c:pt idx="1494">
                  <c:v>9.549</c:v>
                </c:pt>
                <c:pt idx="1495">
                  <c:v>9.594</c:v>
                </c:pt>
                <c:pt idx="1496">
                  <c:v>9.594</c:v>
                </c:pt>
                <c:pt idx="1497">
                  <c:v>9.549</c:v>
                </c:pt>
                <c:pt idx="1498">
                  <c:v>9.460</c:v>
                </c:pt>
                <c:pt idx="1499">
                  <c:v>9.328</c:v>
                </c:pt>
                <c:pt idx="1500">
                  <c:v>9.044</c:v>
                </c:pt>
                <c:pt idx="1501">
                  <c:v>8.805</c:v>
                </c:pt>
                <c:pt idx="1502">
                  <c:v>8.525</c:v>
                </c:pt>
                <c:pt idx="1503">
                  <c:v>8.027</c:v>
                </c:pt>
                <c:pt idx="1504">
                  <c:v>7.446</c:v>
                </c:pt>
                <c:pt idx="1505">
                  <c:v>6.788</c:v>
                </c:pt>
                <c:pt idx="1506">
                  <c:v>6.058</c:v>
                </c:pt>
                <c:pt idx="1507">
                  <c:v>5.265</c:v>
                </c:pt>
                <c:pt idx="1508">
                  <c:v>4.416</c:v>
                </c:pt>
                <c:pt idx="1509">
                  <c:v>3.522</c:v>
                </c:pt>
                <c:pt idx="1510">
                  <c:v>2.587</c:v>
                </c:pt>
                <c:pt idx="1511">
                  <c:v>1.952</c:v>
                </c:pt>
                <c:pt idx="1512">
                  <c:v>1.463</c:v>
                </c:pt>
                <c:pt idx="1513">
                  <c:v>0.983</c:v>
                </c:pt>
                <c:pt idx="1514">
                  <c:v>0.328</c:v>
                </c:pt>
                <c:pt idx="1515">
                  <c:v>-9.480</c:v>
                </c:pt>
                <c:pt idx="1516">
                  <c:v>-9.201</c:v>
                </c:pt>
                <c:pt idx="1517">
                  <c:v>-1.765</c:v>
                </c:pt>
                <c:pt idx="1518">
                  <c:v>1.712</c:v>
                </c:pt>
                <c:pt idx="1519">
                  <c:v>3.522</c:v>
                </c:pt>
                <c:pt idx="1520">
                  <c:v>3.920</c:v>
                </c:pt>
                <c:pt idx="1521">
                  <c:v>4.270</c:v>
                </c:pt>
                <c:pt idx="1522">
                  <c:v>4.588</c:v>
                </c:pt>
                <c:pt idx="1523">
                  <c:v>4.743</c:v>
                </c:pt>
                <c:pt idx="1524">
                  <c:v>4.875</c:v>
                </c:pt>
                <c:pt idx="1525">
                  <c:v>5.065</c:v>
                </c:pt>
                <c:pt idx="1526">
                  <c:v>5.139</c:v>
                </c:pt>
                <c:pt idx="1527">
                  <c:v>5.193</c:v>
                </c:pt>
                <c:pt idx="1528">
                  <c:v>5.220</c:v>
                </c:pt>
                <c:pt idx="1529">
                  <c:v>5.220</c:v>
                </c:pt>
                <c:pt idx="1530">
                  <c:v>5.193</c:v>
                </c:pt>
                <c:pt idx="1531">
                  <c:v>5.144</c:v>
                </c:pt>
                <c:pt idx="1532">
                  <c:v>4.997</c:v>
                </c:pt>
                <c:pt idx="1533">
                  <c:v>4.888</c:v>
                </c:pt>
                <c:pt idx="1534">
                  <c:v>4.743</c:v>
                </c:pt>
                <c:pt idx="1535">
                  <c:v>4.573</c:v>
                </c:pt>
                <c:pt idx="1536">
                  <c:v>4.379</c:v>
                </c:pt>
                <c:pt idx="1537">
                  <c:v>4.161</c:v>
                </c:pt>
                <c:pt idx="1538">
                  <c:v>3.922</c:v>
                </c:pt>
                <c:pt idx="1539">
                  <c:v>3.662</c:v>
                </c:pt>
                <c:pt idx="1540">
                  <c:v>3.382</c:v>
                </c:pt>
                <c:pt idx="1541">
                  <c:v>3.083</c:v>
                </c:pt>
                <c:pt idx="1542">
                  <c:v>2.796</c:v>
                </c:pt>
                <c:pt idx="1543">
                  <c:v>2.233</c:v>
                </c:pt>
                <c:pt idx="1544">
                  <c:v>1.902</c:v>
                </c:pt>
                <c:pt idx="1545">
                  <c:v>1.376</c:v>
                </c:pt>
                <c:pt idx="1546">
                  <c:v>0.987</c:v>
                </c:pt>
                <c:pt idx="1547">
                  <c:v>0.602</c:v>
                </c:pt>
                <c:pt idx="1548">
                  <c:v>0.212</c:v>
                </c:pt>
                <c:pt idx="1549">
                  <c:v>#¡CAMPO!</c:v>
                </c:pt>
                <c:pt idx="1550">
                  <c:v>-6.380</c:v>
                </c:pt>
                <c:pt idx="1551">
                  <c:v>4.677</c:v>
                </c:pt>
                <c:pt idx="1552">
                  <c:v>4.677</c:v>
                </c:pt>
                <c:pt idx="1553">
                  <c:v>-7.289</c:v>
                </c:pt>
                <c:pt idx="1554">
                  <c:v>-7.289</c:v>
                </c:pt>
                <c:pt idx="1555">
                  <c:v>0.096</c:v>
                </c:pt>
                <c:pt idx="1556">
                  <c:v>0.491</c:v>
                </c:pt>
                <c:pt idx="1557">
                  <c:v>0.992</c:v>
                </c:pt>
                <c:pt idx="1558">
                  <c:v>1.483</c:v>
                </c:pt>
                <c:pt idx="1559">
                  <c:v>1.966</c:v>
                </c:pt>
                <c:pt idx="1560">
                  <c:v>2.446</c:v>
                </c:pt>
                <c:pt idx="1561">
                  <c:v>3.121</c:v>
                </c:pt>
                <c:pt idx="1562">
                  <c:v>3.551</c:v>
                </c:pt>
                <c:pt idx="1563">
                  <c:v>4.221</c:v>
                </c:pt>
                <c:pt idx="1564">
                  <c:v>4.599</c:v>
                </c:pt>
                <c:pt idx="1565">
                  <c:v>4.974</c:v>
                </c:pt>
                <c:pt idx="1566">
                  <c:v>5.326</c:v>
                </c:pt>
                <c:pt idx="1567">
                  <c:v>5.653</c:v>
                </c:pt>
                <c:pt idx="1568">
                  <c:v>5.953</c:v>
                </c:pt>
                <c:pt idx="1569">
                  <c:v>6.226</c:v>
                </c:pt>
                <c:pt idx="1570">
                  <c:v>6.470</c:v>
                </c:pt>
                <c:pt idx="1571">
                  <c:v>6.684</c:v>
                </c:pt>
                <c:pt idx="1572">
                  <c:v>6.869</c:v>
                </c:pt>
                <c:pt idx="1573">
                  <c:v>7.078</c:v>
                </c:pt>
                <c:pt idx="1574">
                  <c:v>7.181</c:v>
                </c:pt>
                <c:pt idx="1575">
                  <c:v>7.249</c:v>
                </c:pt>
                <c:pt idx="1576">
                  <c:v>7.283</c:v>
                </c:pt>
                <c:pt idx="1577">
                  <c:v>7.283</c:v>
                </c:pt>
                <c:pt idx="1578">
                  <c:v>7.249</c:v>
                </c:pt>
                <c:pt idx="1579">
                  <c:v>7.181</c:v>
                </c:pt>
                <c:pt idx="1580">
                  <c:v>7.085</c:v>
                </c:pt>
                <c:pt idx="1581">
                  <c:v>6.858</c:v>
                </c:pt>
                <c:pt idx="1582">
                  <c:v>6.684</c:v>
                </c:pt>
                <c:pt idx="1583">
                  <c:v>6.480</c:v>
                </c:pt>
                <c:pt idx="1584">
                  <c:v>6.092</c:v>
                </c:pt>
                <c:pt idx="1585">
                  <c:v>5.651</c:v>
                </c:pt>
                <c:pt idx="1586">
                  <c:v>5.151</c:v>
                </c:pt>
                <c:pt idx="1587">
                  <c:v>4.598</c:v>
                </c:pt>
                <c:pt idx="1588">
                  <c:v>3.996</c:v>
                </c:pt>
                <c:pt idx="1589">
                  <c:v>3.352</c:v>
                </c:pt>
                <c:pt idx="1590">
                  <c:v>2.673</c:v>
                </c:pt>
                <c:pt idx="1591">
                  <c:v>1.966</c:v>
                </c:pt>
                <c:pt idx="1592">
                  <c:v>1.215</c:v>
                </c:pt>
                <c:pt idx="1593">
                  <c:v>0.745</c:v>
                </c:pt>
                <c:pt idx="1594">
                  <c:v>0.248</c:v>
                </c:pt>
                <c:pt idx="1595">
                  <c:v>-7.169</c:v>
                </c:pt>
                <c:pt idx="1596">
                  <c:v>-8.584</c:v>
                </c:pt>
                <c:pt idx="1597">
                  <c:v>-8.584</c:v>
                </c:pt>
                <c:pt idx="1598">
                  <c:v>0.121</c:v>
                </c:pt>
                <c:pt idx="1599">
                  <c:v>0.582</c:v>
                </c:pt>
                <c:pt idx="1600">
                  <c:v>1.169</c:v>
                </c:pt>
                <c:pt idx="1601">
                  <c:v>1.746</c:v>
                </c:pt>
                <c:pt idx="1602">
                  <c:v>2.316</c:v>
                </c:pt>
                <c:pt idx="1603">
                  <c:v>2.878</c:v>
                </c:pt>
                <c:pt idx="1604">
                  <c:v>3.682</c:v>
                </c:pt>
                <c:pt idx="1605">
                  <c:v>4.196</c:v>
                </c:pt>
                <c:pt idx="1606">
                  <c:v>4.960</c:v>
                </c:pt>
                <c:pt idx="1607">
                  <c:v>5.417</c:v>
                </c:pt>
                <c:pt idx="1608">
                  <c:v>5.859</c:v>
                </c:pt>
                <c:pt idx="1609">
                  <c:v>6.273</c:v>
                </c:pt>
                <c:pt idx="1610">
                  <c:v>6.658</c:v>
                </c:pt>
                <c:pt idx="1611">
                  <c:v>7.013</c:v>
                </c:pt>
                <c:pt idx="1612">
                  <c:v>7.334</c:v>
                </c:pt>
                <c:pt idx="1613">
                  <c:v>7.621</c:v>
                </c:pt>
                <c:pt idx="1614">
                  <c:v>7.873</c:v>
                </c:pt>
                <c:pt idx="1615">
                  <c:v>8.089</c:v>
                </c:pt>
                <c:pt idx="1616">
                  <c:v>8.338</c:v>
                </c:pt>
                <c:pt idx="1617">
                  <c:v>8.459</c:v>
                </c:pt>
                <c:pt idx="1618">
                  <c:v>8.539</c:v>
                </c:pt>
                <c:pt idx="1619">
                  <c:v>8.579</c:v>
                </c:pt>
                <c:pt idx="1620">
                  <c:v>8.579</c:v>
                </c:pt>
                <c:pt idx="1621">
                  <c:v>8.539</c:v>
                </c:pt>
                <c:pt idx="1622">
                  <c:v>8.459</c:v>
                </c:pt>
                <c:pt idx="1623">
                  <c:v>8.342</c:v>
                </c:pt>
                <c:pt idx="1624">
                  <c:v>8.084</c:v>
                </c:pt>
                <c:pt idx="1625">
                  <c:v>7.873</c:v>
                </c:pt>
                <c:pt idx="1626">
                  <c:v>7.626</c:v>
                </c:pt>
                <c:pt idx="1627">
                  <c:v>7.177</c:v>
                </c:pt>
                <c:pt idx="1628">
                  <c:v>6.658</c:v>
                </c:pt>
                <c:pt idx="1629">
                  <c:v>6.069</c:v>
                </c:pt>
                <c:pt idx="1630">
                  <c:v>5.416</c:v>
                </c:pt>
                <c:pt idx="1631">
                  <c:v>4.707</c:v>
                </c:pt>
                <c:pt idx="1632">
                  <c:v>3.949</c:v>
                </c:pt>
                <c:pt idx="1633">
                  <c:v>3.149</c:v>
                </c:pt>
                <c:pt idx="1634">
                  <c:v>2.316</c:v>
                </c:pt>
                <c:pt idx="1635">
                  <c:v>1.446</c:v>
                </c:pt>
                <c:pt idx="1636">
                  <c:v>0.878</c:v>
                </c:pt>
                <c:pt idx="1637">
                  <c:v>0.293</c:v>
                </c:pt>
                <c:pt idx="1638">
                  <c:v>-8.464</c:v>
                </c:pt>
                <c:pt idx="1639">
                  <c:v>-9.600</c:v>
                </c:pt>
                <c:pt idx="1640">
                  <c:v>-9.600</c:v>
                </c:pt>
                <c:pt idx="1641">
                  <c:v>0.141</c:v>
                </c:pt>
                <c:pt idx="1642">
                  <c:v>0.654</c:v>
                </c:pt>
                <c:pt idx="1643">
                  <c:v>1.307</c:v>
                </c:pt>
                <c:pt idx="1644">
                  <c:v>1.953</c:v>
                </c:pt>
                <c:pt idx="1645">
                  <c:v>2.590</c:v>
                </c:pt>
                <c:pt idx="1646">
                  <c:v>3.216</c:v>
                </c:pt>
                <c:pt idx="1647">
                  <c:v>4.122</c:v>
                </c:pt>
                <c:pt idx="1648">
                  <c:v>4.702</c:v>
                </c:pt>
                <c:pt idx="1649">
                  <c:v>5.539</c:v>
                </c:pt>
                <c:pt idx="1650">
                  <c:v>6.058</c:v>
                </c:pt>
                <c:pt idx="1651">
                  <c:v>6.552</c:v>
                </c:pt>
                <c:pt idx="1652">
                  <c:v>7.016</c:v>
                </c:pt>
                <c:pt idx="1653">
                  <c:v>7.447</c:v>
                </c:pt>
                <c:pt idx="1654">
                  <c:v>7.843</c:v>
                </c:pt>
                <c:pt idx="1655">
                  <c:v>8.202</c:v>
                </c:pt>
                <c:pt idx="1656">
                  <c:v>8.523</c:v>
                </c:pt>
                <c:pt idx="1657">
                  <c:v>8.805</c:v>
                </c:pt>
                <c:pt idx="1658">
                  <c:v>9.046</c:v>
                </c:pt>
                <c:pt idx="1659">
                  <c:v>9.327</c:v>
                </c:pt>
                <c:pt idx="1660">
                  <c:v>9.460</c:v>
                </c:pt>
                <c:pt idx="1661">
                  <c:v>9.549</c:v>
                </c:pt>
                <c:pt idx="1662">
                  <c:v>9.594</c:v>
                </c:pt>
                <c:pt idx="1663">
                  <c:v>9.594</c:v>
                </c:pt>
                <c:pt idx="1664">
                  <c:v>9.549</c:v>
                </c:pt>
                <c:pt idx="1665">
                  <c:v>9.460</c:v>
                </c:pt>
                <c:pt idx="1666">
                  <c:v>9.328</c:v>
                </c:pt>
                <c:pt idx="1667">
                  <c:v>9.044</c:v>
                </c:pt>
                <c:pt idx="1668">
                  <c:v>8.805</c:v>
                </c:pt>
                <c:pt idx="1669">
                  <c:v>8.525</c:v>
                </c:pt>
                <c:pt idx="1670">
                  <c:v>8.027</c:v>
                </c:pt>
                <c:pt idx="1671">
                  <c:v>7.446</c:v>
                </c:pt>
                <c:pt idx="1672">
                  <c:v>6.788</c:v>
                </c:pt>
                <c:pt idx="1673">
                  <c:v>6.058</c:v>
                </c:pt>
                <c:pt idx="1674">
                  <c:v>5.265</c:v>
                </c:pt>
                <c:pt idx="1675">
                  <c:v>4.416</c:v>
                </c:pt>
                <c:pt idx="1676">
                  <c:v>3.522</c:v>
                </c:pt>
                <c:pt idx="1677">
                  <c:v>2.590</c:v>
                </c:pt>
                <c:pt idx="1678">
                  <c:v>1.628</c:v>
                </c:pt>
                <c:pt idx="1679">
                  <c:v>0.982</c:v>
                </c:pt>
                <c:pt idx="1680">
                  <c:v>0.328</c:v>
                </c:pt>
                <c:pt idx="1681">
                  <c:v>-9.480</c:v>
                </c:pt>
                <c:pt idx="1682">
                  <c:v>-9.201</c:v>
                </c:pt>
                <c:pt idx="1683">
                  <c:v>-1.765</c:v>
                </c:pt>
                <c:pt idx="1684">
                  <c:v>1.712</c:v>
                </c:pt>
                <c:pt idx="1685">
                  <c:v>3.522</c:v>
                </c:pt>
                <c:pt idx="1686">
                  <c:v>3.920</c:v>
                </c:pt>
                <c:pt idx="1687">
                  <c:v>4.270</c:v>
                </c:pt>
                <c:pt idx="1688">
                  <c:v>4.588</c:v>
                </c:pt>
                <c:pt idx="1689">
                  <c:v>4.743</c:v>
                </c:pt>
                <c:pt idx="1690">
                  <c:v>4.875</c:v>
                </c:pt>
                <c:pt idx="1691">
                  <c:v>5.065</c:v>
                </c:pt>
                <c:pt idx="1692">
                  <c:v>5.139</c:v>
                </c:pt>
                <c:pt idx="1693">
                  <c:v>5.193</c:v>
                </c:pt>
                <c:pt idx="1694">
                  <c:v>5.220</c:v>
                </c:pt>
                <c:pt idx="1695">
                  <c:v>5.220</c:v>
                </c:pt>
                <c:pt idx="1696">
                  <c:v>5.193</c:v>
                </c:pt>
                <c:pt idx="1697">
                  <c:v>5.141</c:v>
                </c:pt>
                <c:pt idx="1698">
                  <c:v>4.978</c:v>
                </c:pt>
                <c:pt idx="1699">
                  <c:v>4.892</c:v>
                </c:pt>
                <c:pt idx="1700">
                  <c:v>4.743</c:v>
                </c:pt>
                <c:pt idx="1701">
                  <c:v>4.573</c:v>
                </c:pt>
                <c:pt idx="1702">
                  <c:v>4.379</c:v>
                </c:pt>
                <c:pt idx="1703">
                  <c:v>4.161</c:v>
                </c:pt>
                <c:pt idx="1704">
                  <c:v>3.922</c:v>
                </c:pt>
                <c:pt idx="1705">
                  <c:v>3.662</c:v>
                </c:pt>
                <c:pt idx="1706">
                  <c:v>3.382</c:v>
                </c:pt>
                <c:pt idx="1707">
                  <c:v>3.083</c:v>
                </c:pt>
                <c:pt idx="1708">
                  <c:v>2.796</c:v>
                </c:pt>
                <c:pt idx="1709">
                  <c:v>2.249</c:v>
                </c:pt>
                <c:pt idx="1710">
                  <c:v>1.638</c:v>
                </c:pt>
                <c:pt idx="1711">
                  <c:v>1.374</c:v>
                </c:pt>
                <c:pt idx="1712">
                  <c:v>0.987</c:v>
                </c:pt>
                <c:pt idx="1713">
                  <c:v>0.602</c:v>
                </c:pt>
                <c:pt idx="1714">
                  <c:v>0.212</c:v>
                </c:pt>
                <c:pt idx="1715">
                  <c:v>#¡CAMPO!</c:v>
                </c:pt>
                <c:pt idx="1716">
                  <c:v>-6.380</c:v>
                </c:pt>
                <c:pt idx="1717">
                  <c:v>4.677</c:v>
                </c:pt>
                <c:pt idx="1718">
                  <c:v>4.677</c:v>
                </c:pt>
                <c:pt idx="1719">
                  <c:v>-7.289</c:v>
                </c:pt>
                <c:pt idx="1720">
                  <c:v>-7.289</c:v>
                </c:pt>
                <c:pt idx="1721">
                  <c:v>0.161</c:v>
                </c:pt>
                <c:pt idx="1722">
                  <c:v>0.992</c:v>
                </c:pt>
                <c:pt idx="1723">
                  <c:v>1.483</c:v>
                </c:pt>
                <c:pt idx="1724">
                  <c:v>1.966</c:v>
                </c:pt>
                <c:pt idx="1725">
                  <c:v>2.440</c:v>
                </c:pt>
                <c:pt idx="1726">
                  <c:v>2.882</c:v>
                </c:pt>
                <c:pt idx="1727">
                  <c:v>3.571</c:v>
                </c:pt>
                <c:pt idx="1728">
                  <c:v>4.221</c:v>
                </c:pt>
                <c:pt idx="1729">
                  <c:v>4.599</c:v>
                </c:pt>
                <c:pt idx="1730">
                  <c:v>4.974</c:v>
                </c:pt>
                <c:pt idx="1731">
                  <c:v>5.326</c:v>
                </c:pt>
                <c:pt idx="1732">
                  <c:v>5.653</c:v>
                </c:pt>
                <c:pt idx="1733">
                  <c:v>5.953</c:v>
                </c:pt>
                <c:pt idx="1734">
                  <c:v>6.226</c:v>
                </c:pt>
                <c:pt idx="1735">
                  <c:v>6.470</c:v>
                </c:pt>
                <c:pt idx="1736">
                  <c:v>6.684</c:v>
                </c:pt>
                <c:pt idx="1737">
                  <c:v>6.868</c:v>
                </c:pt>
                <c:pt idx="1738">
                  <c:v>7.078</c:v>
                </c:pt>
                <c:pt idx="1739">
                  <c:v>7.181</c:v>
                </c:pt>
                <c:pt idx="1740">
                  <c:v>7.249</c:v>
                </c:pt>
                <c:pt idx="1741">
                  <c:v>7.283</c:v>
                </c:pt>
                <c:pt idx="1742">
                  <c:v>7.283</c:v>
                </c:pt>
                <c:pt idx="1743">
                  <c:v>7.249</c:v>
                </c:pt>
                <c:pt idx="1744">
                  <c:v>7.181</c:v>
                </c:pt>
                <c:pt idx="1745">
                  <c:v>7.085</c:v>
                </c:pt>
                <c:pt idx="1746">
                  <c:v>6.858</c:v>
                </c:pt>
                <c:pt idx="1747">
                  <c:v>6.684</c:v>
                </c:pt>
                <c:pt idx="1748">
                  <c:v>6.480</c:v>
                </c:pt>
                <c:pt idx="1749">
                  <c:v>6.092</c:v>
                </c:pt>
                <c:pt idx="1750">
                  <c:v>5.651</c:v>
                </c:pt>
                <c:pt idx="1751">
                  <c:v>5.151</c:v>
                </c:pt>
                <c:pt idx="1752">
                  <c:v>4.598</c:v>
                </c:pt>
                <c:pt idx="1753">
                  <c:v>3.996</c:v>
                </c:pt>
                <c:pt idx="1754">
                  <c:v>3.352</c:v>
                </c:pt>
                <c:pt idx="1755">
                  <c:v>2.673</c:v>
                </c:pt>
                <c:pt idx="1756">
                  <c:v>1.966</c:v>
                </c:pt>
                <c:pt idx="1757">
                  <c:v>1.215</c:v>
                </c:pt>
                <c:pt idx="1758">
                  <c:v>0.745</c:v>
                </c:pt>
                <c:pt idx="1759">
                  <c:v>0.248</c:v>
                </c:pt>
                <c:pt idx="1760">
                  <c:v>-7.169</c:v>
                </c:pt>
                <c:pt idx="1761">
                  <c:v>-8.584</c:v>
                </c:pt>
                <c:pt idx="1762">
                  <c:v>-8.584</c:v>
                </c:pt>
                <c:pt idx="1763">
                  <c:v>0.188</c:v>
                </c:pt>
                <c:pt idx="1764">
                  <c:v>0.58</c:v>
                </c:pt>
                <c:pt idx="1765">
                  <c:v>1.169</c:v>
                </c:pt>
                <c:pt idx="1766">
                  <c:v>1.746</c:v>
                </c:pt>
                <c:pt idx="1767">
                  <c:v>2.316</c:v>
                </c:pt>
                <c:pt idx="1768">
                  <c:v>2.874</c:v>
                </c:pt>
                <c:pt idx="1769">
                  <c:v>3.408</c:v>
                </c:pt>
                <c:pt idx="1770">
                  <c:v>4.206</c:v>
                </c:pt>
                <c:pt idx="1771">
                  <c:v>4.960</c:v>
                </c:pt>
                <c:pt idx="1772">
                  <c:v>5.417</c:v>
                </c:pt>
                <c:pt idx="1773">
                  <c:v>5.859</c:v>
                </c:pt>
                <c:pt idx="1774">
                  <c:v>6.273</c:v>
                </c:pt>
                <c:pt idx="1775">
                  <c:v>6.658</c:v>
                </c:pt>
                <c:pt idx="1776">
                  <c:v>7.013</c:v>
                </c:pt>
                <c:pt idx="1777">
                  <c:v>7.334</c:v>
                </c:pt>
                <c:pt idx="1778">
                  <c:v>7.621</c:v>
                </c:pt>
                <c:pt idx="1779">
                  <c:v>7.873</c:v>
                </c:pt>
                <c:pt idx="1780">
                  <c:v>8.089</c:v>
                </c:pt>
                <c:pt idx="1781">
                  <c:v>8.338</c:v>
                </c:pt>
                <c:pt idx="1782">
                  <c:v>8.459</c:v>
                </c:pt>
                <c:pt idx="1783">
                  <c:v>8.539</c:v>
                </c:pt>
                <c:pt idx="1784">
                  <c:v>8.579</c:v>
                </c:pt>
                <c:pt idx="1785">
                  <c:v>8.579</c:v>
                </c:pt>
                <c:pt idx="1786">
                  <c:v>8.539</c:v>
                </c:pt>
                <c:pt idx="1787">
                  <c:v>8.459</c:v>
                </c:pt>
                <c:pt idx="1788">
                  <c:v>8.342</c:v>
                </c:pt>
                <c:pt idx="1789">
                  <c:v>8.084</c:v>
                </c:pt>
                <c:pt idx="1790">
                  <c:v>7.873</c:v>
                </c:pt>
                <c:pt idx="1791">
                  <c:v>7.626</c:v>
                </c:pt>
                <c:pt idx="1792">
                  <c:v>7.177</c:v>
                </c:pt>
                <c:pt idx="1793">
                  <c:v>6.658</c:v>
                </c:pt>
                <c:pt idx="1794">
                  <c:v>6.069</c:v>
                </c:pt>
                <c:pt idx="1795">
                  <c:v>5.416</c:v>
                </c:pt>
                <c:pt idx="1796">
                  <c:v>4.707</c:v>
                </c:pt>
                <c:pt idx="1797">
                  <c:v>3.949</c:v>
                </c:pt>
                <c:pt idx="1798">
                  <c:v>3.149</c:v>
                </c:pt>
                <c:pt idx="1799">
                  <c:v>2.316</c:v>
                </c:pt>
                <c:pt idx="1800">
                  <c:v>1.446</c:v>
                </c:pt>
                <c:pt idx="1801">
                  <c:v>0.878</c:v>
                </c:pt>
                <c:pt idx="1802">
                  <c:v>0.293</c:v>
                </c:pt>
                <c:pt idx="1803">
                  <c:v>-8.464</c:v>
                </c:pt>
                <c:pt idx="1804">
                  <c:v>-9.600</c:v>
                </c:pt>
                <c:pt idx="1805">
                  <c:v>-9.600</c:v>
                </c:pt>
                <c:pt idx="1806">
                  <c:v>0.21</c:v>
                </c:pt>
                <c:pt idx="1807">
                  <c:v>0.654</c:v>
                </c:pt>
                <c:pt idx="1808">
                  <c:v>1.307</c:v>
                </c:pt>
                <c:pt idx="1809">
                  <c:v>1.953</c:v>
                </c:pt>
                <c:pt idx="1810">
                  <c:v>2.590</c:v>
                </c:pt>
                <c:pt idx="1811">
                  <c:v>3.215</c:v>
                </c:pt>
                <c:pt idx="1812">
                  <c:v>3.821</c:v>
                </c:pt>
                <c:pt idx="1813">
                  <c:v>4.705</c:v>
                </c:pt>
                <c:pt idx="1814">
                  <c:v>5.539</c:v>
                </c:pt>
                <c:pt idx="1815">
                  <c:v>6.058</c:v>
                </c:pt>
                <c:pt idx="1816">
                  <c:v>6.552</c:v>
                </c:pt>
                <c:pt idx="1817">
                  <c:v>7.016</c:v>
                </c:pt>
                <c:pt idx="1818">
                  <c:v>7.447</c:v>
                </c:pt>
                <c:pt idx="1819">
                  <c:v>7.843</c:v>
                </c:pt>
                <c:pt idx="1820">
                  <c:v>8.202</c:v>
                </c:pt>
                <c:pt idx="1821">
                  <c:v>8.523</c:v>
                </c:pt>
                <c:pt idx="1822">
                  <c:v>8.805</c:v>
                </c:pt>
                <c:pt idx="1823">
                  <c:v>9.046</c:v>
                </c:pt>
                <c:pt idx="1824">
                  <c:v>9.326</c:v>
                </c:pt>
                <c:pt idx="1825">
                  <c:v>9.460</c:v>
                </c:pt>
                <c:pt idx="1826">
                  <c:v>9.549</c:v>
                </c:pt>
                <c:pt idx="1827">
                  <c:v>9.594</c:v>
                </c:pt>
                <c:pt idx="1828">
                  <c:v>9.594</c:v>
                </c:pt>
                <c:pt idx="1829">
                  <c:v>9.549</c:v>
                </c:pt>
                <c:pt idx="1830">
                  <c:v>9.460</c:v>
                </c:pt>
                <c:pt idx="1831">
                  <c:v>9.328</c:v>
                </c:pt>
                <c:pt idx="1832">
                  <c:v>9.044</c:v>
                </c:pt>
                <c:pt idx="1833">
                  <c:v>8.805</c:v>
                </c:pt>
                <c:pt idx="1834">
                  <c:v>8.525</c:v>
                </c:pt>
                <c:pt idx="1835">
                  <c:v>8.027</c:v>
                </c:pt>
                <c:pt idx="1836">
                  <c:v>7.446</c:v>
                </c:pt>
                <c:pt idx="1837">
                  <c:v>6.788</c:v>
                </c:pt>
                <c:pt idx="1838">
                  <c:v>6.058</c:v>
                </c:pt>
                <c:pt idx="1839">
                  <c:v>5.265</c:v>
                </c:pt>
                <c:pt idx="1840">
                  <c:v>4.416</c:v>
                </c:pt>
                <c:pt idx="1841">
                  <c:v>3.522</c:v>
                </c:pt>
                <c:pt idx="1842">
                  <c:v>2.590</c:v>
                </c:pt>
                <c:pt idx="1843">
                  <c:v>1.628</c:v>
                </c:pt>
                <c:pt idx="1844">
                  <c:v>0.982</c:v>
                </c:pt>
                <c:pt idx="1845">
                  <c:v>0.328</c:v>
                </c:pt>
                <c:pt idx="1846">
                  <c:v>-9.480</c:v>
                </c:pt>
                <c:pt idx="1847">
                  <c:v>-9.201</c:v>
                </c:pt>
                <c:pt idx="1848">
                  <c:v>-1.765</c:v>
                </c:pt>
                <c:pt idx="1849">
                  <c:v>1.712</c:v>
                </c:pt>
                <c:pt idx="1850">
                  <c:v>3.522</c:v>
                </c:pt>
                <c:pt idx="1851">
                  <c:v>3.920</c:v>
                </c:pt>
                <c:pt idx="1852">
                  <c:v>4.270</c:v>
                </c:pt>
                <c:pt idx="1853">
                  <c:v>4.588</c:v>
                </c:pt>
                <c:pt idx="1854">
                  <c:v>4.743</c:v>
                </c:pt>
                <c:pt idx="1855">
                  <c:v>4.875</c:v>
                </c:pt>
                <c:pt idx="1856">
                  <c:v>5.065</c:v>
                </c:pt>
                <c:pt idx="1857">
                  <c:v>5.139</c:v>
                </c:pt>
                <c:pt idx="1858">
                  <c:v>5.193</c:v>
                </c:pt>
                <c:pt idx="1859">
                  <c:v>5.220</c:v>
                </c:pt>
                <c:pt idx="1860">
                  <c:v>5.220</c:v>
                </c:pt>
                <c:pt idx="1861">
                  <c:v>5.193</c:v>
                </c:pt>
                <c:pt idx="1862">
                  <c:v>5.141</c:v>
                </c:pt>
                <c:pt idx="1863">
                  <c:v>4.983</c:v>
                </c:pt>
                <c:pt idx="1864">
                  <c:v>4.891</c:v>
                </c:pt>
                <c:pt idx="1865">
                  <c:v>4.743</c:v>
                </c:pt>
                <c:pt idx="1866">
                  <c:v>4.573</c:v>
                </c:pt>
                <c:pt idx="1867">
                  <c:v>4.379</c:v>
                </c:pt>
                <c:pt idx="1868">
                  <c:v>4.161</c:v>
                </c:pt>
                <c:pt idx="1869">
                  <c:v>3.922</c:v>
                </c:pt>
                <c:pt idx="1870">
                  <c:v>3.662</c:v>
                </c:pt>
                <c:pt idx="1871">
                  <c:v>3.382</c:v>
                </c:pt>
                <c:pt idx="1872">
                  <c:v>3.083</c:v>
                </c:pt>
                <c:pt idx="1873">
                  <c:v>2.796</c:v>
                </c:pt>
                <c:pt idx="1874">
                  <c:v>2.264</c:v>
                </c:pt>
                <c:pt idx="1875">
                  <c:v>1.700</c:v>
                </c:pt>
                <c:pt idx="1876">
                  <c:v>1.365</c:v>
                </c:pt>
                <c:pt idx="1877">
                  <c:v>0.987</c:v>
                </c:pt>
                <c:pt idx="1878">
                  <c:v>0.602</c:v>
                </c:pt>
                <c:pt idx="1879">
                  <c:v>0.229</c:v>
                </c:pt>
                <c:pt idx="1880">
                  <c:v>#¡CAMPO!</c:v>
                </c:pt>
                <c:pt idx="1881">
                  <c:v>-6.379</c:v>
                </c:pt>
                <c:pt idx="1882">
                  <c:v>4.677</c:v>
                </c:pt>
                <c:pt idx="1883">
                  <c:v>4.677</c:v>
                </c:pt>
                <c:pt idx="1884">
                  <c:v>-7.289</c:v>
                </c:pt>
                <c:pt idx="1885">
                  <c:v>-7.289</c:v>
                </c:pt>
                <c:pt idx="1886">
                  <c:v>0.18</c:v>
                </c:pt>
                <c:pt idx="1887">
                  <c:v>0.992</c:v>
                </c:pt>
                <c:pt idx="1888">
                  <c:v>1.483</c:v>
                </c:pt>
                <c:pt idx="1889">
                  <c:v>1.966</c:v>
                </c:pt>
                <c:pt idx="1890">
                  <c:v>2.440</c:v>
                </c:pt>
                <c:pt idx="1891">
                  <c:v>2.882</c:v>
                </c:pt>
                <c:pt idx="1892">
                  <c:v>3.571</c:v>
                </c:pt>
                <c:pt idx="1893">
                  <c:v>4.221</c:v>
                </c:pt>
                <c:pt idx="1894">
                  <c:v>4.599</c:v>
                </c:pt>
                <c:pt idx="1895">
                  <c:v>4.974</c:v>
                </c:pt>
                <c:pt idx="1896">
                  <c:v>5.326</c:v>
                </c:pt>
                <c:pt idx="1897">
                  <c:v>5.653</c:v>
                </c:pt>
                <c:pt idx="1898">
                  <c:v>5.953</c:v>
                </c:pt>
                <c:pt idx="1899">
                  <c:v>6.226</c:v>
                </c:pt>
                <c:pt idx="1900">
                  <c:v>6.470</c:v>
                </c:pt>
                <c:pt idx="1901">
                  <c:v>6.684</c:v>
                </c:pt>
                <c:pt idx="1902">
                  <c:v>6.866</c:v>
                </c:pt>
                <c:pt idx="1903">
                  <c:v>7.010</c:v>
                </c:pt>
                <c:pt idx="1904">
                  <c:v>7.184</c:v>
                </c:pt>
                <c:pt idx="1905">
                  <c:v>7.249</c:v>
                </c:pt>
                <c:pt idx="1906">
                  <c:v>7.283</c:v>
                </c:pt>
                <c:pt idx="1907">
                  <c:v>7.283</c:v>
                </c:pt>
                <c:pt idx="1908">
                  <c:v>7.249</c:v>
                </c:pt>
                <c:pt idx="1909">
                  <c:v>7.181</c:v>
                </c:pt>
                <c:pt idx="1910">
                  <c:v>7.085</c:v>
                </c:pt>
                <c:pt idx="1911">
                  <c:v>6.858</c:v>
                </c:pt>
                <c:pt idx="1912">
                  <c:v>6.684</c:v>
                </c:pt>
                <c:pt idx="1913">
                  <c:v>6.480</c:v>
                </c:pt>
                <c:pt idx="1914">
                  <c:v>6.092</c:v>
                </c:pt>
                <c:pt idx="1915">
                  <c:v>5.651</c:v>
                </c:pt>
                <c:pt idx="1916">
                  <c:v>5.151</c:v>
                </c:pt>
                <c:pt idx="1917">
                  <c:v>4.598</c:v>
                </c:pt>
                <c:pt idx="1918">
                  <c:v>3.996</c:v>
                </c:pt>
                <c:pt idx="1919">
                  <c:v>3.352</c:v>
                </c:pt>
                <c:pt idx="1920">
                  <c:v>2.673</c:v>
                </c:pt>
                <c:pt idx="1921">
                  <c:v>1.966</c:v>
                </c:pt>
                <c:pt idx="1922">
                  <c:v>1.215</c:v>
                </c:pt>
                <c:pt idx="1923">
                  <c:v>0.745</c:v>
                </c:pt>
                <c:pt idx="1924">
                  <c:v>0.248</c:v>
                </c:pt>
                <c:pt idx="1925">
                  <c:v>-7.169</c:v>
                </c:pt>
                <c:pt idx="1926">
                  <c:v>-8.584</c:v>
                </c:pt>
                <c:pt idx="1927">
                  <c:v>-8.584</c:v>
                </c:pt>
                <c:pt idx="1928">
                  <c:v>0.208</c:v>
                </c:pt>
                <c:pt idx="1929">
                  <c:v>0.579</c:v>
                </c:pt>
                <c:pt idx="1930">
                  <c:v>1.169</c:v>
                </c:pt>
                <c:pt idx="1931">
                  <c:v>1.746</c:v>
                </c:pt>
                <c:pt idx="1932">
                  <c:v>2.316</c:v>
                </c:pt>
                <c:pt idx="1933">
                  <c:v>2.874</c:v>
                </c:pt>
                <c:pt idx="1934">
                  <c:v>3.408</c:v>
                </c:pt>
                <c:pt idx="1935">
                  <c:v>4.206</c:v>
                </c:pt>
                <c:pt idx="1936">
                  <c:v>4.960</c:v>
                </c:pt>
                <c:pt idx="1937">
                  <c:v>5.417</c:v>
                </c:pt>
                <c:pt idx="1938">
                  <c:v>5.859</c:v>
                </c:pt>
                <c:pt idx="1939">
                  <c:v>6.273</c:v>
                </c:pt>
                <c:pt idx="1940">
                  <c:v>6.658</c:v>
                </c:pt>
                <c:pt idx="1941">
                  <c:v>7.013</c:v>
                </c:pt>
                <c:pt idx="1942">
                  <c:v>7.334</c:v>
                </c:pt>
                <c:pt idx="1943">
                  <c:v>7.621</c:v>
                </c:pt>
                <c:pt idx="1944">
                  <c:v>7.873</c:v>
                </c:pt>
                <c:pt idx="1945">
                  <c:v>8.088</c:v>
                </c:pt>
                <c:pt idx="1946">
                  <c:v>8.262</c:v>
                </c:pt>
                <c:pt idx="1947">
                  <c:v>8.460</c:v>
                </c:pt>
                <c:pt idx="1948">
                  <c:v>8.539</c:v>
                </c:pt>
                <c:pt idx="1949">
                  <c:v>8.579</c:v>
                </c:pt>
                <c:pt idx="1950">
                  <c:v>8.579</c:v>
                </c:pt>
                <c:pt idx="1951">
                  <c:v>8.539</c:v>
                </c:pt>
                <c:pt idx="1952">
                  <c:v>8.459</c:v>
                </c:pt>
                <c:pt idx="1953">
                  <c:v>8.342</c:v>
                </c:pt>
                <c:pt idx="1954">
                  <c:v>8.084</c:v>
                </c:pt>
                <c:pt idx="1955">
                  <c:v>7.873</c:v>
                </c:pt>
                <c:pt idx="1956">
                  <c:v>7.626</c:v>
                </c:pt>
                <c:pt idx="1957">
                  <c:v>7.177</c:v>
                </c:pt>
                <c:pt idx="1958">
                  <c:v>6.658</c:v>
                </c:pt>
                <c:pt idx="1959">
                  <c:v>6.069</c:v>
                </c:pt>
                <c:pt idx="1960">
                  <c:v>5.416</c:v>
                </c:pt>
                <c:pt idx="1961">
                  <c:v>4.707</c:v>
                </c:pt>
                <c:pt idx="1962">
                  <c:v>3.949</c:v>
                </c:pt>
                <c:pt idx="1963">
                  <c:v>3.149</c:v>
                </c:pt>
                <c:pt idx="1964">
                  <c:v>2.316</c:v>
                </c:pt>
                <c:pt idx="1965">
                  <c:v>1.446</c:v>
                </c:pt>
                <c:pt idx="1966">
                  <c:v>0.878</c:v>
                </c:pt>
                <c:pt idx="1967">
                  <c:v>0.293</c:v>
                </c:pt>
                <c:pt idx="1968">
                  <c:v>-8.464</c:v>
                </c:pt>
                <c:pt idx="1969">
                  <c:v>-9.600</c:v>
                </c:pt>
                <c:pt idx="1970">
                  <c:v>-9.600</c:v>
                </c:pt>
                <c:pt idx="1971">
                  <c:v>0.23</c:v>
                </c:pt>
                <c:pt idx="1972">
                  <c:v>0.653</c:v>
                </c:pt>
                <c:pt idx="1973">
                  <c:v>1.307</c:v>
                </c:pt>
                <c:pt idx="1974">
                  <c:v>1.953</c:v>
                </c:pt>
                <c:pt idx="1975">
                  <c:v>2.590</c:v>
                </c:pt>
                <c:pt idx="1976">
                  <c:v>3.215</c:v>
                </c:pt>
                <c:pt idx="1977">
                  <c:v>3.821</c:v>
                </c:pt>
                <c:pt idx="1978">
                  <c:v>4.705</c:v>
                </c:pt>
                <c:pt idx="1979">
                  <c:v>5.539</c:v>
                </c:pt>
                <c:pt idx="1980">
                  <c:v>6.058</c:v>
                </c:pt>
                <c:pt idx="1981">
                  <c:v>6.552</c:v>
                </c:pt>
                <c:pt idx="1982">
                  <c:v>7.016</c:v>
                </c:pt>
                <c:pt idx="1983">
                  <c:v>7.447</c:v>
                </c:pt>
                <c:pt idx="1984">
                  <c:v>7.843</c:v>
                </c:pt>
                <c:pt idx="1985">
                  <c:v>8.202</c:v>
                </c:pt>
                <c:pt idx="1986">
                  <c:v>8.523</c:v>
                </c:pt>
                <c:pt idx="1987">
                  <c:v>8.805</c:v>
                </c:pt>
                <c:pt idx="1988">
                  <c:v>9.045</c:v>
                </c:pt>
                <c:pt idx="1989">
                  <c:v>9.243</c:v>
                </c:pt>
                <c:pt idx="1990">
                  <c:v>9.461</c:v>
                </c:pt>
                <c:pt idx="1991">
                  <c:v>9.549</c:v>
                </c:pt>
                <c:pt idx="1992">
                  <c:v>9.594</c:v>
                </c:pt>
                <c:pt idx="1993">
                  <c:v>9.594</c:v>
                </c:pt>
                <c:pt idx="1994">
                  <c:v>9.549</c:v>
                </c:pt>
                <c:pt idx="1995">
                  <c:v>9.460</c:v>
                </c:pt>
                <c:pt idx="1996">
                  <c:v>9.328</c:v>
                </c:pt>
                <c:pt idx="1997">
                  <c:v>9.044</c:v>
                </c:pt>
                <c:pt idx="1998">
                  <c:v>8.805</c:v>
                </c:pt>
                <c:pt idx="1999">
                  <c:v>8.525</c:v>
                </c:pt>
                <c:pt idx="2000">
                  <c:v>8.027</c:v>
                </c:pt>
                <c:pt idx="2001">
                  <c:v>7.446</c:v>
                </c:pt>
                <c:pt idx="2002">
                  <c:v>6.788</c:v>
                </c:pt>
                <c:pt idx="2003">
                  <c:v>6.058</c:v>
                </c:pt>
                <c:pt idx="2004">
                  <c:v>5.265</c:v>
                </c:pt>
                <c:pt idx="2005">
                  <c:v>4.416</c:v>
                </c:pt>
                <c:pt idx="2006">
                  <c:v>3.522</c:v>
                </c:pt>
                <c:pt idx="2007">
                  <c:v>2.590</c:v>
                </c:pt>
                <c:pt idx="2008">
                  <c:v>1.628</c:v>
                </c:pt>
                <c:pt idx="2009">
                  <c:v>0.982</c:v>
                </c:pt>
                <c:pt idx="2010">
                  <c:v>0.328</c:v>
                </c:pt>
                <c:pt idx="2011">
                  <c:v>-9.480</c:v>
                </c:pt>
                <c:pt idx="2012">
                  <c:v>-9.201</c:v>
                </c:pt>
                <c:pt idx="2013">
                  <c:v>-1.765</c:v>
                </c:pt>
                <c:pt idx="2014">
                  <c:v>1.712</c:v>
                </c:pt>
                <c:pt idx="2015">
                  <c:v>3.522</c:v>
                </c:pt>
                <c:pt idx="2016">
                  <c:v>3.920</c:v>
                </c:pt>
                <c:pt idx="2017">
                  <c:v>4.270</c:v>
                </c:pt>
                <c:pt idx="2018">
                  <c:v>4.588</c:v>
                </c:pt>
                <c:pt idx="2019">
                  <c:v>4.743</c:v>
                </c:pt>
                <c:pt idx="2020">
                  <c:v>4.875</c:v>
                </c:pt>
                <c:pt idx="2021">
                  <c:v>5.065</c:v>
                </c:pt>
                <c:pt idx="2022">
                  <c:v>5.139</c:v>
                </c:pt>
                <c:pt idx="2023">
                  <c:v>5.193</c:v>
                </c:pt>
                <c:pt idx="2024">
                  <c:v>5.220</c:v>
                </c:pt>
                <c:pt idx="2025">
                  <c:v>5.220</c:v>
                </c:pt>
                <c:pt idx="2026">
                  <c:v>5.193</c:v>
                </c:pt>
                <c:pt idx="2027">
                  <c:v>5.144</c:v>
                </c:pt>
                <c:pt idx="2028">
                  <c:v>4.997</c:v>
                </c:pt>
                <c:pt idx="2029">
                  <c:v>4.888</c:v>
                </c:pt>
                <c:pt idx="2030">
                  <c:v>4.743</c:v>
                </c:pt>
                <c:pt idx="2031">
                  <c:v>4.573</c:v>
                </c:pt>
                <c:pt idx="2032">
                  <c:v>4.379</c:v>
                </c:pt>
                <c:pt idx="2033">
                  <c:v>4.161</c:v>
                </c:pt>
                <c:pt idx="2034">
                  <c:v>3.922</c:v>
                </c:pt>
                <c:pt idx="2035">
                  <c:v>3.662</c:v>
                </c:pt>
                <c:pt idx="2036">
                  <c:v>3.382</c:v>
                </c:pt>
                <c:pt idx="2037">
                  <c:v>3.083</c:v>
                </c:pt>
                <c:pt idx="2038">
                  <c:v>2.796</c:v>
                </c:pt>
                <c:pt idx="2039">
                  <c:v>2.264</c:v>
                </c:pt>
                <c:pt idx="2040">
                  <c:v>1.700</c:v>
                </c:pt>
                <c:pt idx="2041">
                  <c:v>1.365</c:v>
                </c:pt>
                <c:pt idx="2042">
                  <c:v>0.987</c:v>
                </c:pt>
                <c:pt idx="2043">
                  <c:v>0.602</c:v>
                </c:pt>
                <c:pt idx="2044">
                  <c:v>0.228</c:v>
                </c:pt>
                <c:pt idx="2045">
                  <c:v>#¡CAMPO!</c:v>
                </c:pt>
                <c:pt idx="2046">
                  <c:v>-6.379</c:v>
                </c:pt>
                <c:pt idx="2047">
                  <c:v>4.677</c:v>
                </c:pt>
                <c:pt idx="2048">
                  <c:v>4.677</c:v>
                </c:pt>
                <c:pt idx="2049">
                  <c:v>-7.289</c:v>
                </c:pt>
                <c:pt idx="2050">
                  <c:v>-7.289</c:v>
                </c:pt>
                <c:pt idx="2051">
                  <c:v>0.198</c:v>
                </c:pt>
                <c:pt idx="2052">
                  <c:v>0.992</c:v>
                </c:pt>
                <c:pt idx="2053">
                  <c:v>1.483</c:v>
                </c:pt>
                <c:pt idx="2054">
                  <c:v>1.966</c:v>
                </c:pt>
                <c:pt idx="2055">
                  <c:v>2.440</c:v>
                </c:pt>
                <c:pt idx="2056">
                  <c:v>2.882</c:v>
                </c:pt>
                <c:pt idx="2057">
                  <c:v>3.571</c:v>
                </c:pt>
                <c:pt idx="2058">
                  <c:v>4.221</c:v>
                </c:pt>
                <c:pt idx="2059">
                  <c:v>4.599</c:v>
                </c:pt>
                <c:pt idx="2060">
                  <c:v>4.974</c:v>
                </c:pt>
                <c:pt idx="2061">
                  <c:v>5.326</c:v>
                </c:pt>
                <c:pt idx="2062">
                  <c:v>5.653</c:v>
                </c:pt>
                <c:pt idx="2063">
                  <c:v>5.953</c:v>
                </c:pt>
                <c:pt idx="2064">
                  <c:v>6.226</c:v>
                </c:pt>
                <c:pt idx="2065">
                  <c:v>6.472</c:v>
                </c:pt>
                <c:pt idx="2066">
                  <c:v>6.665</c:v>
                </c:pt>
                <c:pt idx="2067">
                  <c:v>6.946</c:v>
                </c:pt>
                <c:pt idx="2068">
                  <c:v>7.080</c:v>
                </c:pt>
                <c:pt idx="2069">
                  <c:v>7.181</c:v>
                </c:pt>
                <c:pt idx="2070">
                  <c:v>7.249</c:v>
                </c:pt>
                <c:pt idx="2071">
                  <c:v>7.283</c:v>
                </c:pt>
                <c:pt idx="2072">
                  <c:v>7.283</c:v>
                </c:pt>
                <c:pt idx="2073">
                  <c:v>7.249</c:v>
                </c:pt>
                <c:pt idx="2074">
                  <c:v>7.181</c:v>
                </c:pt>
                <c:pt idx="2075">
                  <c:v>7.023</c:v>
                </c:pt>
                <c:pt idx="2076">
                  <c:v>6.866</c:v>
                </c:pt>
                <c:pt idx="2077">
                  <c:v>6.684</c:v>
                </c:pt>
                <c:pt idx="2078">
                  <c:v>6.480</c:v>
                </c:pt>
                <c:pt idx="2079">
                  <c:v>6.092</c:v>
                </c:pt>
                <c:pt idx="2080">
                  <c:v>5.651</c:v>
                </c:pt>
                <c:pt idx="2081">
                  <c:v>5.151</c:v>
                </c:pt>
                <c:pt idx="2082">
                  <c:v>4.598</c:v>
                </c:pt>
                <c:pt idx="2083">
                  <c:v>3.996</c:v>
                </c:pt>
                <c:pt idx="2084">
                  <c:v>3.352</c:v>
                </c:pt>
                <c:pt idx="2085">
                  <c:v>2.673</c:v>
                </c:pt>
                <c:pt idx="2086">
                  <c:v>1.944</c:v>
                </c:pt>
                <c:pt idx="2087">
                  <c:v>1.483</c:v>
                </c:pt>
                <c:pt idx="2088">
                  <c:v>1.015</c:v>
                </c:pt>
                <c:pt idx="2089">
                  <c:v>0.225</c:v>
                </c:pt>
                <c:pt idx="2090">
                  <c:v>-7.169</c:v>
                </c:pt>
                <c:pt idx="2091">
                  <c:v>-8.584</c:v>
                </c:pt>
                <c:pt idx="2092">
                  <c:v>-8.584</c:v>
                </c:pt>
                <c:pt idx="2093">
                  <c:v>0.228</c:v>
                </c:pt>
                <c:pt idx="2094">
                  <c:v>0.578</c:v>
                </c:pt>
                <c:pt idx="2095">
                  <c:v>1.169</c:v>
                </c:pt>
                <c:pt idx="2096">
                  <c:v>1.746</c:v>
                </c:pt>
                <c:pt idx="2097">
                  <c:v>2.316</c:v>
                </c:pt>
                <c:pt idx="2098">
                  <c:v>2.874</c:v>
                </c:pt>
                <c:pt idx="2099">
                  <c:v>3.408</c:v>
                </c:pt>
                <c:pt idx="2100">
                  <c:v>4.206</c:v>
                </c:pt>
                <c:pt idx="2101">
                  <c:v>4.960</c:v>
                </c:pt>
                <c:pt idx="2102">
                  <c:v>5.417</c:v>
                </c:pt>
                <c:pt idx="2103">
                  <c:v>5.859</c:v>
                </c:pt>
                <c:pt idx="2104">
                  <c:v>6.273</c:v>
                </c:pt>
                <c:pt idx="2105">
                  <c:v>6.658</c:v>
                </c:pt>
                <c:pt idx="2106">
                  <c:v>7.013</c:v>
                </c:pt>
                <c:pt idx="2107">
                  <c:v>7.334</c:v>
                </c:pt>
                <c:pt idx="2108">
                  <c:v>7.622</c:v>
                </c:pt>
                <c:pt idx="2109">
                  <c:v>7.847</c:v>
                </c:pt>
                <c:pt idx="2110">
                  <c:v>7.983</c:v>
                </c:pt>
                <c:pt idx="2111">
                  <c:v>8.181</c:v>
                </c:pt>
                <c:pt idx="2112">
                  <c:v>8.339</c:v>
                </c:pt>
                <c:pt idx="2113">
                  <c:v>8.459</c:v>
                </c:pt>
                <c:pt idx="2114">
                  <c:v>8.539</c:v>
                </c:pt>
                <c:pt idx="2115">
                  <c:v>8.579</c:v>
                </c:pt>
                <c:pt idx="2116">
                  <c:v>8.579</c:v>
                </c:pt>
                <c:pt idx="2117">
                  <c:v>8.539</c:v>
                </c:pt>
                <c:pt idx="2118">
                  <c:v>8.459</c:v>
                </c:pt>
                <c:pt idx="2119">
                  <c:v>8.269</c:v>
                </c:pt>
                <c:pt idx="2120">
                  <c:v>8.088</c:v>
                </c:pt>
                <c:pt idx="2121">
                  <c:v>7.873</c:v>
                </c:pt>
                <c:pt idx="2122">
                  <c:v>7.626</c:v>
                </c:pt>
                <c:pt idx="2123">
                  <c:v>7.177</c:v>
                </c:pt>
                <c:pt idx="2124">
                  <c:v>6.658</c:v>
                </c:pt>
                <c:pt idx="2125">
                  <c:v>6.069</c:v>
                </c:pt>
                <c:pt idx="2126">
                  <c:v>5.416</c:v>
                </c:pt>
                <c:pt idx="2127">
                  <c:v>4.707</c:v>
                </c:pt>
                <c:pt idx="2128">
                  <c:v>3.949</c:v>
                </c:pt>
                <c:pt idx="2129">
                  <c:v>3.149</c:v>
                </c:pt>
                <c:pt idx="2130">
                  <c:v>2.304</c:v>
                </c:pt>
                <c:pt idx="2131">
                  <c:v>1.746</c:v>
                </c:pt>
                <c:pt idx="2132">
                  <c:v>1.181</c:v>
                </c:pt>
                <c:pt idx="2133">
                  <c:v>0.281</c:v>
                </c:pt>
                <c:pt idx="2134">
                  <c:v>-8.464</c:v>
                </c:pt>
                <c:pt idx="2135">
                  <c:v>-9.600</c:v>
                </c:pt>
                <c:pt idx="2136">
                  <c:v>-9.600</c:v>
                </c:pt>
                <c:pt idx="2137">
                  <c:v>0.25</c:v>
                </c:pt>
                <c:pt idx="2138">
                  <c:v>0.653</c:v>
                </c:pt>
                <c:pt idx="2139">
                  <c:v>1.307</c:v>
                </c:pt>
                <c:pt idx="2140">
                  <c:v>1.953</c:v>
                </c:pt>
                <c:pt idx="2141">
                  <c:v>2.590</c:v>
                </c:pt>
                <c:pt idx="2142">
                  <c:v>3.215</c:v>
                </c:pt>
                <c:pt idx="2143">
                  <c:v>3.821</c:v>
                </c:pt>
                <c:pt idx="2144">
                  <c:v>4.705</c:v>
                </c:pt>
                <c:pt idx="2145">
                  <c:v>5.539</c:v>
                </c:pt>
                <c:pt idx="2146">
                  <c:v>6.058</c:v>
                </c:pt>
                <c:pt idx="2147">
                  <c:v>6.552</c:v>
                </c:pt>
                <c:pt idx="2148">
                  <c:v>7.016</c:v>
                </c:pt>
                <c:pt idx="2149">
                  <c:v>7.447</c:v>
                </c:pt>
                <c:pt idx="2150">
                  <c:v>7.843</c:v>
                </c:pt>
                <c:pt idx="2151">
                  <c:v>8.202</c:v>
                </c:pt>
                <c:pt idx="2152">
                  <c:v>8.524</c:v>
                </c:pt>
                <c:pt idx="2153">
                  <c:v>8.773</c:v>
                </c:pt>
                <c:pt idx="2154">
                  <c:v>8.930</c:v>
                </c:pt>
                <c:pt idx="2155">
                  <c:v>9.150</c:v>
                </c:pt>
                <c:pt idx="2156">
                  <c:v>9.327</c:v>
                </c:pt>
                <c:pt idx="2157">
                  <c:v>9.460</c:v>
                </c:pt>
                <c:pt idx="2158">
                  <c:v>9.549</c:v>
                </c:pt>
                <c:pt idx="2159">
                  <c:v>9.594</c:v>
                </c:pt>
                <c:pt idx="2160">
                  <c:v>9.594</c:v>
                </c:pt>
                <c:pt idx="2161">
                  <c:v>9.549</c:v>
                </c:pt>
                <c:pt idx="2162">
                  <c:v>9.460</c:v>
                </c:pt>
                <c:pt idx="2163">
                  <c:v>9.245</c:v>
                </c:pt>
                <c:pt idx="2164">
                  <c:v>9.045</c:v>
                </c:pt>
                <c:pt idx="2165">
                  <c:v>8.805</c:v>
                </c:pt>
                <c:pt idx="2166">
                  <c:v>8.525</c:v>
                </c:pt>
                <c:pt idx="2167">
                  <c:v>8.027</c:v>
                </c:pt>
                <c:pt idx="2168">
                  <c:v>7.446</c:v>
                </c:pt>
                <c:pt idx="2169">
                  <c:v>6.788</c:v>
                </c:pt>
                <c:pt idx="2170">
                  <c:v>6.058</c:v>
                </c:pt>
                <c:pt idx="2171">
                  <c:v>5.265</c:v>
                </c:pt>
                <c:pt idx="2172">
                  <c:v>4.416</c:v>
                </c:pt>
                <c:pt idx="2173">
                  <c:v>3.522</c:v>
                </c:pt>
                <c:pt idx="2174">
                  <c:v>2.587</c:v>
                </c:pt>
                <c:pt idx="2175">
                  <c:v>1.953</c:v>
                </c:pt>
                <c:pt idx="2176">
                  <c:v>1.311</c:v>
                </c:pt>
                <c:pt idx="2177">
                  <c:v>0.324</c:v>
                </c:pt>
                <c:pt idx="2178">
                  <c:v>-9.480</c:v>
                </c:pt>
                <c:pt idx="2179">
                  <c:v>-9.202</c:v>
                </c:pt>
                <c:pt idx="2180">
                  <c:v>-1.765</c:v>
                </c:pt>
                <c:pt idx="2181">
                  <c:v>1.712</c:v>
                </c:pt>
                <c:pt idx="2182">
                  <c:v>3.522</c:v>
                </c:pt>
                <c:pt idx="2183">
                  <c:v>3.920</c:v>
                </c:pt>
                <c:pt idx="2184">
                  <c:v>4.270</c:v>
                </c:pt>
                <c:pt idx="2185">
                  <c:v>4.588</c:v>
                </c:pt>
                <c:pt idx="2186">
                  <c:v>4.743</c:v>
                </c:pt>
                <c:pt idx="2187">
                  <c:v>4.884</c:v>
                </c:pt>
                <c:pt idx="2188">
                  <c:v>5.060</c:v>
                </c:pt>
                <c:pt idx="2189">
                  <c:v>5.139</c:v>
                </c:pt>
                <c:pt idx="2190">
                  <c:v>5.193</c:v>
                </c:pt>
                <c:pt idx="2191">
                  <c:v>5.220</c:v>
                </c:pt>
                <c:pt idx="2192">
                  <c:v>5.220</c:v>
                </c:pt>
                <c:pt idx="2193">
                  <c:v>5.193</c:v>
                </c:pt>
                <c:pt idx="2194">
                  <c:v>5.139</c:v>
                </c:pt>
                <c:pt idx="2195">
                  <c:v>5.058</c:v>
                </c:pt>
                <c:pt idx="2196">
                  <c:v>4.955</c:v>
                </c:pt>
                <c:pt idx="2197">
                  <c:v>4.720</c:v>
                </c:pt>
                <c:pt idx="2198">
                  <c:v>4.379</c:v>
                </c:pt>
                <c:pt idx="2199">
                  <c:v>4.161</c:v>
                </c:pt>
                <c:pt idx="2200">
                  <c:v>3.922</c:v>
                </c:pt>
                <c:pt idx="2201">
                  <c:v>3.662</c:v>
                </c:pt>
                <c:pt idx="2202">
                  <c:v>3.382</c:v>
                </c:pt>
                <c:pt idx="2203">
                  <c:v>3.083</c:v>
                </c:pt>
                <c:pt idx="2204">
                  <c:v>2.796</c:v>
                </c:pt>
                <c:pt idx="2205">
                  <c:v>2.264</c:v>
                </c:pt>
                <c:pt idx="2206">
                  <c:v>1.700</c:v>
                </c:pt>
                <c:pt idx="2207">
                  <c:v>1.365</c:v>
                </c:pt>
                <c:pt idx="2208">
                  <c:v>0.987</c:v>
                </c:pt>
                <c:pt idx="2209">
                  <c:v>0.602</c:v>
                </c:pt>
                <c:pt idx="2210">
                  <c:v>0.227</c:v>
                </c:pt>
                <c:pt idx="2211">
                  <c:v>#¡CAMPO!</c:v>
                </c:pt>
                <c:pt idx="2212">
                  <c:v>-6.379</c:v>
                </c:pt>
                <c:pt idx="2213">
                  <c:v>4.677</c:v>
                </c:pt>
                <c:pt idx="2214">
                  <c:v>4.677</c:v>
                </c:pt>
                <c:pt idx="2215">
                  <c:v>-7.289</c:v>
                </c:pt>
                <c:pt idx="2216">
                  <c:v>-7.289</c:v>
                </c:pt>
                <c:pt idx="2217">
                  <c:v>0.217</c:v>
                </c:pt>
                <c:pt idx="2218">
                  <c:v>0.992</c:v>
                </c:pt>
                <c:pt idx="2219">
                  <c:v>1.483</c:v>
                </c:pt>
                <c:pt idx="2220">
                  <c:v>1.966</c:v>
                </c:pt>
                <c:pt idx="2221">
                  <c:v>2.443</c:v>
                </c:pt>
                <c:pt idx="2222">
                  <c:v>3.115</c:v>
                </c:pt>
                <c:pt idx="2223">
                  <c:v>3.551</c:v>
                </c:pt>
                <c:pt idx="2224">
                  <c:v>4.221</c:v>
                </c:pt>
                <c:pt idx="2225">
                  <c:v>4.599</c:v>
                </c:pt>
                <c:pt idx="2226">
                  <c:v>4.974</c:v>
                </c:pt>
                <c:pt idx="2227">
                  <c:v>5.326</c:v>
                </c:pt>
                <c:pt idx="2228">
                  <c:v>5.653</c:v>
                </c:pt>
                <c:pt idx="2229">
                  <c:v>5.953</c:v>
                </c:pt>
                <c:pt idx="2230">
                  <c:v>6.226</c:v>
                </c:pt>
                <c:pt idx="2231">
                  <c:v>6.470</c:v>
                </c:pt>
                <c:pt idx="2232">
                  <c:v>6.684</c:v>
                </c:pt>
                <c:pt idx="2233">
                  <c:v>6.867</c:v>
                </c:pt>
                <c:pt idx="2234">
                  <c:v>7.077</c:v>
                </c:pt>
                <c:pt idx="2235">
                  <c:v>7.181</c:v>
                </c:pt>
                <c:pt idx="2236">
                  <c:v>7.249</c:v>
                </c:pt>
                <c:pt idx="2237">
                  <c:v>7.283</c:v>
                </c:pt>
                <c:pt idx="2238">
                  <c:v>7.283</c:v>
                </c:pt>
                <c:pt idx="2239">
                  <c:v>7.249</c:v>
                </c:pt>
                <c:pt idx="2240">
                  <c:v>7.181</c:v>
                </c:pt>
                <c:pt idx="2241">
                  <c:v>7.085</c:v>
                </c:pt>
                <c:pt idx="2242">
                  <c:v>6.858</c:v>
                </c:pt>
                <c:pt idx="2243">
                  <c:v>6.684</c:v>
                </c:pt>
                <c:pt idx="2244">
                  <c:v>6.480</c:v>
                </c:pt>
                <c:pt idx="2245">
                  <c:v>6.092</c:v>
                </c:pt>
                <c:pt idx="2246">
                  <c:v>5.651</c:v>
                </c:pt>
                <c:pt idx="2247">
                  <c:v>5.151</c:v>
                </c:pt>
                <c:pt idx="2248">
                  <c:v>4.598</c:v>
                </c:pt>
                <c:pt idx="2249">
                  <c:v>3.996</c:v>
                </c:pt>
                <c:pt idx="2250">
                  <c:v>3.352</c:v>
                </c:pt>
                <c:pt idx="2251">
                  <c:v>2.673</c:v>
                </c:pt>
                <c:pt idx="2252">
                  <c:v>1.966</c:v>
                </c:pt>
                <c:pt idx="2253">
                  <c:v>1.215</c:v>
                </c:pt>
                <c:pt idx="2254">
                  <c:v>0.745</c:v>
                </c:pt>
                <c:pt idx="2255">
                  <c:v>0.248</c:v>
                </c:pt>
                <c:pt idx="2256">
                  <c:v>-7.169</c:v>
                </c:pt>
                <c:pt idx="2257">
                  <c:v>-8.584</c:v>
                </c:pt>
                <c:pt idx="2258">
                  <c:v>-8.584</c:v>
                </c:pt>
                <c:pt idx="2259">
                  <c:v>0.247</c:v>
                </c:pt>
                <c:pt idx="2260">
                  <c:v>1.169</c:v>
                </c:pt>
                <c:pt idx="2261">
                  <c:v>1.746</c:v>
                </c:pt>
                <c:pt idx="2262">
                  <c:v>2.316</c:v>
                </c:pt>
                <c:pt idx="2263">
                  <c:v>2.876</c:v>
                </c:pt>
                <c:pt idx="2264">
                  <c:v>3.679</c:v>
                </c:pt>
                <c:pt idx="2265">
                  <c:v>4.196</c:v>
                </c:pt>
                <c:pt idx="2266">
                  <c:v>4.960</c:v>
                </c:pt>
                <c:pt idx="2267">
                  <c:v>5.417</c:v>
                </c:pt>
                <c:pt idx="2268">
                  <c:v>5.859</c:v>
                </c:pt>
                <c:pt idx="2269">
                  <c:v>6.273</c:v>
                </c:pt>
                <c:pt idx="2270">
                  <c:v>6.658</c:v>
                </c:pt>
                <c:pt idx="2271">
                  <c:v>7.013</c:v>
                </c:pt>
                <c:pt idx="2272">
                  <c:v>7.334</c:v>
                </c:pt>
                <c:pt idx="2273">
                  <c:v>7.621</c:v>
                </c:pt>
                <c:pt idx="2274">
                  <c:v>7.873</c:v>
                </c:pt>
                <c:pt idx="2275">
                  <c:v>8.088</c:v>
                </c:pt>
                <c:pt idx="2276">
                  <c:v>8.338</c:v>
                </c:pt>
                <c:pt idx="2277">
                  <c:v>8.459</c:v>
                </c:pt>
                <c:pt idx="2278">
                  <c:v>8.539</c:v>
                </c:pt>
                <c:pt idx="2279">
                  <c:v>8.579</c:v>
                </c:pt>
                <c:pt idx="2280">
                  <c:v>8.579</c:v>
                </c:pt>
                <c:pt idx="2281">
                  <c:v>8.539</c:v>
                </c:pt>
                <c:pt idx="2282">
                  <c:v>8.459</c:v>
                </c:pt>
                <c:pt idx="2283">
                  <c:v>8.342</c:v>
                </c:pt>
                <c:pt idx="2284">
                  <c:v>8.084</c:v>
                </c:pt>
                <c:pt idx="2285">
                  <c:v>7.873</c:v>
                </c:pt>
                <c:pt idx="2286">
                  <c:v>7.626</c:v>
                </c:pt>
                <c:pt idx="2287">
                  <c:v>7.177</c:v>
                </c:pt>
                <c:pt idx="2288">
                  <c:v>6.658</c:v>
                </c:pt>
                <c:pt idx="2289">
                  <c:v>6.069</c:v>
                </c:pt>
                <c:pt idx="2290">
                  <c:v>5.416</c:v>
                </c:pt>
                <c:pt idx="2291">
                  <c:v>4.707</c:v>
                </c:pt>
                <c:pt idx="2292">
                  <c:v>3.949</c:v>
                </c:pt>
                <c:pt idx="2293">
                  <c:v>3.149</c:v>
                </c:pt>
                <c:pt idx="2294">
                  <c:v>2.316</c:v>
                </c:pt>
                <c:pt idx="2295">
                  <c:v>1.446</c:v>
                </c:pt>
                <c:pt idx="2296">
                  <c:v>0.878</c:v>
                </c:pt>
                <c:pt idx="2297">
                  <c:v>0.293</c:v>
                </c:pt>
                <c:pt idx="2298">
                  <c:v>-8.464</c:v>
                </c:pt>
                <c:pt idx="2299">
                  <c:v>-9.600</c:v>
                </c:pt>
                <c:pt idx="2300">
                  <c:v>-9.600</c:v>
                </c:pt>
                <c:pt idx="2301">
                  <c:v>0.271</c:v>
                </c:pt>
                <c:pt idx="2302">
                  <c:v>0.653</c:v>
                </c:pt>
                <c:pt idx="2303">
                  <c:v>1.307</c:v>
                </c:pt>
                <c:pt idx="2304">
                  <c:v>1.953</c:v>
                </c:pt>
                <c:pt idx="2305">
                  <c:v>2.590</c:v>
                </c:pt>
                <c:pt idx="2306">
                  <c:v>3.215</c:v>
                </c:pt>
                <c:pt idx="2307">
                  <c:v>4.121</c:v>
                </c:pt>
                <c:pt idx="2308">
                  <c:v>4.702</c:v>
                </c:pt>
                <c:pt idx="2309">
                  <c:v>5.539</c:v>
                </c:pt>
                <c:pt idx="2310">
                  <c:v>6.058</c:v>
                </c:pt>
                <c:pt idx="2311">
                  <c:v>6.552</c:v>
                </c:pt>
                <c:pt idx="2312">
                  <c:v>7.016</c:v>
                </c:pt>
                <c:pt idx="2313">
                  <c:v>7.447</c:v>
                </c:pt>
                <c:pt idx="2314">
                  <c:v>7.843</c:v>
                </c:pt>
                <c:pt idx="2315">
                  <c:v>8.202</c:v>
                </c:pt>
                <c:pt idx="2316">
                  <c:v>8.523</c:v>
                </c:pt>
                <c:pt idx="2317">
                  <c:v>8.805</c:v>
                </c:pt>
                <c:pt idx="2318">
                  <c:v>9.046</c:v>
                </c:pt>
                <c:pt idx="2319">
                  <c:v>9.326</c:v>
                </c:pt>
                <c:pt idx="2320">
                  <c:v>9.460</c:v>
                </c:pt>
                <c:pt idx="2321">
                  <c:v>9.549</c:v>
                </c:pt>
                <c:pt idx="2322">
                  <c:v>9.594</c:v>
                </c:pt>
                <c:pt idx="2323">
                  <c:v>9.594</c:v>
                </c:pt>
                <c:pt idx="2324">
                  <c:v>9.549</c:v>
                </c:pt>
                <c:pt idx="2325">
                  <c:v>9.460</c:v>
                </c:pt>
                <c:pt idx="2326">
                  <c:v>9.328</c:v>
                </c:pt>
                <c:pt idx="2327">
                  <c:v>9.044</c:v>
                </c:pt>
                <c:pt idx="2328">
                  <c:v>8.805</c:v>
                </c:pt>
                <c:pt idx="2329">
                  <c:v>8.525</c:v>
                </c:pt>
                <c:pt idx="2330">
                  <c:v>8.027</c:v>
                </c:pt>
                <c:pt idx="2331">
                  <c:v>7.446</c:v>
                </c:pt>
                <c:pt idx="2332">
                  <c:v>6.788</c:v>
                </c:pt>
                <c:pt idx="2333">
                  <c:v>6.058</c:v>
                </c:pt>
                <c:pt idx="2334">
                  <c:v>5.265</c:v>
                </c:pt>
                <c:pt idx="2335">
                  <c:v>4.416</c:v>
                </c:pt>
                <c:pt idx="2336">
                  <c:v>3.522</c:v>
                </c:pt>
                <c:pt idx="2337">
                  <c:v>2.590</c:v>
                </c:pt>
                <c:pt idx="2338">
                  <c:v>1.628</c:v>
                </c:pt>
                <c:pt idx="2339">
                  <c:v>0.982</c:v>
                </c:pt>
                <c:pt idx="2340">
                  <c:v>0.328</c:v>
                </c:pt>
                <c:pt idx="2341">
                  <c:v>-9.480</c:v>
                </c:pt>
                <c:pt idx="2342">
                  <c:v>-9.201</c:v>
                </c:pt>
                <c:pt idx="2343">
                  <c:v>-1.765</c:v>
                </c:pt>
                <c:pt idx="2344">
                  <c:v>1.712</c:v>
                </c:pt>
                <c:pt idx="2345">
                  <c:v>3.522</c:v>
                </c:pt>
                <c:pt idx="2346">
                  <c:v>3.920</c:v>
                </c:pt>
                <c:pt idx="2347">
                  <c:v>4.270</c:v>
                </c:pt>
                <c:pt idx="2348">
                  <c:v>4.588</c:v>
                </c:pt>
                <c:pt idx="2349">
                  <c:v>4.743</c:v>
                </c:pt>
                <c:pt idx="2350">
                  <c:v>4.875</c:v>
                </c:pt>
                <c:pt idx="2351">
                  <c:v>5.065</c:v>
                </c:pt>
                <c:pt idx="2352">
                  <c:v>5.139</c:v>
                </c:pt>
                <c:pt idx="2353">
                  <c:v>5.193</c:v>
                </c:pt>
                <c:pt idx="2354">
                  <c:v>5.220</c:v>
                </c:pt>
                <c:pt idx="2355">
                  <c:v>5.220</c:v>
                </c:pt>
                <c:pt idx="2356">
                  <c:v>5.193</c:v>
                </c:pt>
                <c:pt idx="2357">
                  <c:v>5.141</c:v>
                </c:pt>
                <c:pt idx="2358">
                  <c:v>4.997</c:v>
                </c:pt>
                <c:pt idx="2359">
                  <c:v>4.743</c:v>
                </c:pt>
                <c:pt idx="2360">
                  <c:v>4.573</c:v>
                </c:pt>
                <c:pt idx="2361">
                  <c:v>4.379</c:v>
                </c:pt>
                <c:pt idx="2362">
                  <c:v>4.161</c:v>
                </c:pt>
                <c:pt idx="2363">
                  <c:v>3.922</c:v>
                </c:pt>
                <c:pt idx="2364">
                  <c:v>3.662</c:v>
                </c:pt>
                <c:pt idx="2365">
                  <c:v>3.382</c:v>
                </c:pt>
                <c:pt idx="2366">
                  <c:v>3.083</c:v>
                </c:pt>
                <c:pt idx="2367">
                  <c:v>2.796</c:v>
                </c:pt>
                <c:pt idx="2368">
                  <c:v>2.246</c:v>
                </c:pt>
                <c:pt idx="2369">
                  <c:v>1.698</c:v>
                </c:pt>
                <c:pt idx="2370">
                  <c:v>1.368</c:v>
                </c:pt>
                <c:pt idx="2371">
                  <c:v>0.987</c:v>
                </c:pt>
                <c:pt idx="2372">
                  <c:v>0.602</c:v>
                </c:pt>
                <c:pt idx="2373">
                  <c:v>0.226</c:v>
                </c:pt>
                <c:pt idx="2374">
                  <c:v>#¡CAMPO!</c:v>
                </c:pt>
                <c:pt idx="2375">
                  <c:v>-6.379</c:v>
                </c:pt>
                <c:pt idx="2376">
                  <c:v>4.677</c:v>
                </c:pt>
                <c:pt idx="2377">
                  <c:v>4.677</c:v>
                </c:pt>
                <c:pt idx="2378">
                  <c:v>-7.289</c:v>
                </c:pt>
                <c:pt idx="2379">
                  <c:v>-7.289</c:v>
                </c:pt>
                <c:pt idx="2380">
                  <c:v>0.235</c:v>
                </c:pt>
                <c:pt idx="2381">
                  <c:v>0.992</c:v>
                </c:pt>
                <c:pt idx="2382">
                  <c:v>1.483</c:v>
                </c:pt>
                <c:pt idx="2383">
                  <c:v>1.966</c:v>
                </c:pt>
                <c:pt idx="2384">
                  <c:v>2.442</c:v>
                </c:pt>
                <c:pt idx="2385">
                  <c:v>3.114</c:v>
                </c:pt>
                <c:pt idx="2386">
                  <c:v>3.572</c:v>
                </c:pt>
                <c:pt idx="2387">
                  <c:v>3.997</c:v>
                </c:pt>
                <c:pt idx="2388">
                  <c:v>4.403</c:v>
                </c:pt>
                <c:pt idx="2389">
                  <c:v>4.790</c:v>
                </c:pt>
                <c:pt idx="2390">
                  <c:v>5.145</c:v>
                </c:pt>
                <c:pt idx="2391">
                  <c:v>5.653</c:v>
                </c:pt>
                <c:pt idx="2392">
                  <c:v>5.953</c:v>
                </c:pt>
                <c:pt idx="2393">
                  <c:v>6.226</c:v>
                </c:pt>
                <c:pt idx="2394">
                  <c:v>6.470</c:v>
                </c:pt>
                <c:pt idx="2395">
                  <c:v>6.684</c:v>
                </c:pt>
                <c:pt idx="2396">
                  <c:v>6.866</c:v>
                </c:pt>
                <c:pt idx="2397">
                  <c:v>7.010</c:v>
                </c:pt>
                <c:pt idx="2398">
                  <c:v>7.184</c:v>
                </c:pt>
                <c:pt idx="2399">
                  <c:v>7.249</c:v>
                </c:pt>
                <c:pt idx="2400">
                  <c:v>7.283</c:v>
                </c:pt>
                <c:pt idx="2401">
                  <c:v>7.283</c:v>
                </c:pt>
                <c:pt idx="2402">
                  <c:v>7.249</c:v>
                </c:pt>
                <c:pt idx="2403">
                  <c:v>7.181</c:v>
                </c:pt>
                <c:pt idx="2404">
                  <c:v>7.085</c:v>
                </c:pt>
                <c:pt idx="2405">
                  <c:v>6.858</c:v>
                </c:pt>
                <c:pt idx="2406">
                  <c:v>6.684</c:v>
                </c:pt>
                <c:pt idx="2407">
                  <c:v>6.480</c:v>
                </c:pt>
                <c:pt idx="2408">
                  <c:v>6.092</c:v>
                </c:pt>
                <c:pt idx="2409">
                  <c:v>5.651</c:v>
                </c:pt>
                <c:pt idx="2410">
                  <c:v>5.151</c:v>
                </c:pt>
                <c:pt idx="2411">
                  <c:v>4.598</c:v>
                </c:pt>
                <c:pt idx="2412">
                  <c:v>3.996</c:v>
                </c:pt>
                <c:pt idx="2413">
                  <c:v>3.352</c:v>
                </c:pt>
                <c:pt idx="2414">
                  <c:v>2.673</c:v>
                </c:pt>
                <c:pt idx="2415">
                  <c:v>1.966</c:v>
                </c:pt>
                <c:pt idx="2416">
                  <c:v>1.215</c:v>
                </c:pt>
                <c:pt idx="2417">
                  <c:v>0.745</c:v>
                </c:pt>
                <c:pt idx="2418">
                  <c:v>0.248</c:v>
                </c:pt>
                <c:pt idx="2419">
                  <c:v>-7.169</c:v>
                </c:pt>
                <c:pt idx="2420">
                  <c:v>-8.584</c:v>
                </c:pt>
                <c:pt idx="2421">
                  <c:v>-8.584</c:v>
                </c:pt>
                <c:pt idx="2422">
                  <c:v>0.266</c:v>
                </c:pt>
                <c:pt idx="2423">
                  <c:v>1.169</c:v>
                </c:pt>
                <c:pt idx="2424">
                  <c:v>1.746</c:v>
                </c:pt>
                <c:pt idx="2425">
                  <c:v>2.316</c:v>
                </c:pt>
                <c:pt idx="2426">
                  <c:v>2.875</c:v>
                </c:pt>
                <c:pt idx="2427">
                  <c:v>3.678</c:v>
                </c:pt>
                <c:pt idx="2428">
                  <c:v>4.207</c:v>
                </c:pt>
                <c:pt idx="2429">
                  <c:v>4.708</c:v>
                </c:pt>
                <c:pt idx="2430">
                  <c:v>5.186</c:v>
                </c:pt>
                <c:pt idx="2431">
                  <c:v>5.642</c:v>
                </c:pt>
                <c:pt idx="2432">
                  <c:v>6.051</c:v>
                </c:pt>
                <c:pt idx="2433">
                  <c:v>6.658</c:v>
                </c:pt>
                <c:pt idx="2434">
                  <c:v>7.013</c:v>
                </c:pt>
                <c:pt idx="2435">
                  <c:v>7.334</c:v>
                </c:pt>
                <c:pt idx="2436">
                  <c:v>7.621</c:v>
                </c:pt>
                <c:pt idx="2437">
                  <c:v>7.873</c:v>
                </c:pt>
                <c:pt idx="2438">
                  <c:v>8.088</c:v>
                </c:pt>
                <c:pt idx="2439">
                  <c:v>8.262</c:v>
                </c:pt>
                <c:pt idx="2440">
                  <c:v>8.460</c:v>
                </c:pt>
                <c:pt idx="2441">
                  <c:v>8.539</c:v>
                </c:pt>
                <c:pt idx="2442">
                  <c:v>8.579</c:v>
                </c:pt>
                <c:pt idx="2443">
                  <c:v>8.579</c:v>
                </c:pt>
                <c:pt idx="2444">
                  <c:v>8.539</c:v>
                </c:pt>
                <c:pt idx="2445">
                  <c:v>8.459</c:v>
                </c:pt>
                <c:pt idx="2446">
                  <c:v>8.342</c:v>
                </c:pt>
                <c:pt idx="2447">
                  <c:v>8.084</c:v>
                </c:pt>
                <c:pt idx="2448">
                  <c:v>7.873</c:v>
                </c:pt>
                <c:pt idx="2449">
                  <c:v>7.626</c:v>
                </c:pt>
                <c:pt idx="2450">
                  <c:v>7.177</c:v>
                </c:pt>
                <c:pt idx="2451">
                  <c:v>6.658</c:v>
                </c:pt>
                <c:pt idx="2452">
                  <c:v>6.069</c:v>
                </c:pt>
                <c:pt idx="2453">
                  <c:v>5.416</c:v>
                </c:pt>
                <c:pt idx="2454">
                  <c:v>4.707</c:v>
                </c:pt>
                <c:pt idx="2455">
                  <c:v>3.949</c:v>
                </c:pt>
                <c:pt idx="2456">
                  <c:v>3.149</c:v>
                </c:pt>
                <c:pt idx="2457">
                  <c:v>2.316</c:v>
                </c:pt>
                <c:pt idx="2458">
                  <c:v>1.446</c:v>
                </c:pt>
                <c:pt idx="2459">
                  <c:v>0.878</c:v>
                </c:pt>
                <c:pt idx="2460">
                  <c:v>0.293</c:v>
                </c:pt>
                <c:pt idx="2461">
                  <c:v>-8.464</c:v>
                </c:pt>
                <c:pt idx="2462">
                  <c:v>-9.600</c:v>
                </c:pt>
                <c:pt idx="2463">
                  <c:v>-9.600</c:v>
                </c:pt>
                <c:pt idx="2464">
                  <c:v>0.291</c:v>
                </c:pt>
                <c:pt idx="2465">
                  <c:v>0.652</c:v>
                </c:pt>
                <c:pt idx="2466">
                  <c:v>1.307</c:v>
                </c:pt>
                <c:pt idx="2467">
                  <c:v>1.953</c:v>
                </c:pt>
                <c:pt idx="2468">
                  <c:v>2.590</c:v>
                </c:pt>
                <c:pt idx="2469">
                  <c:v>3.215</c:v>
                </c:pt>
                <c:pt idx="2470">
                  <c:v>4.121</c:v>
                </c:pt>
                <c:pt idx="2471">
                  <c:v>4.705</c:v>
                </c:pt>
                <c:pt idx="2472">
                  <c:v>5.265</c:v>
                </c:pt>
                <c:pt idx="2473">
                  <c:v>5.801</c:v>
                </c:pt>
                <c:pt idx="2474">
                  <c:v>6.309</c:v>
                </c:pt>
                <c:pt idx="2475">
                  <c:v>6.762</c:v>
                </c:pt>
                <c:pt idx="2476">
                  <c:v>7.014</c:v>
                </c:pt>
                <c:pt idx="2477">
                  <c:v>7.447</c:v>
                </c:pt>
                <c:pt idx="2478">
                  <c:v>7.843</c:v>
                </c:pt>
                <c:pt idx="2479">
                  <c:v>8.202</c:v>
                </c:pt>
                <c:pt idx="2480">
                  <c:v>8.523</c:v>
                </c:pt>
                <c:pt idx="2481">
                  <c:v>8.805</c:v>
                </c:pt>
                <c:pt idx="2482">
                  <c:v>9.045</c:v>
                </c:pt>
                <c:pt idx="2483">
                  <c:v>9.243</c:v>
                </c:pt>
                <c:pt idx="2484">
                  <c:v>9.461</c:v>
                </c:pt>
                <c:pt idx="2485">
                  <c:v>9.549</c:v>
                </c:pt>
                <c:pt idx="2486">
                  <c:v>9.594</c:v>
                </c:pt>
                <c:pt idx="2487">
                  <c:v>9.594</c:v>
                </c:pt>
                <c:pt idx="2488">
                  <c:v>9.549</c:v>
                </c:pt>
                <c:pt idx="2489">
                  <c:v>9.460</c:v>
                </c:pt>
                <c:pt idx="2490">
                  <c:v>9.328</c:v>
                </c:pt>
                <c:pt idx="2491">
                  <c:v>9.044</c:v>
                </c:pt>
                <c:pt idx="2492">
                  <c:v>8.805</c:v>
                </c:pt>
                <c:pt idx="2493">
                  <c:v>8.525</c:v>
                </c:pt>
                <c:pt idx="2494">
                  <c:v>8.027</c:v>
                </c:pt>
                <c:pt idx="2495">
                  <c:v>7.446</c:v>
                </c:pt>
                <c:pt idx="2496">
                  <c:v>6.788</c:v>
                </c:pt>
                <c:pt idx="2497">
                  <c:v>6.058</c:v>
                </c:pt>
                <c:pt idx="2498">
                  <c:v>5.265</c:v>
                </c:pt>
                <c:pt idx="2499">
                  <c:v>4.416</c:v>
                </c:pt>
                <c:pt idx="2500">
                  <c:v>3.522</c:v>
                </c:pt>
                <c:pt idx="2501">
                  <c:v>2.590</c:v>
                </c:pt>
                <c:pt idx="2502">
                  <c:v>1.628</c:v>
                </c:pt>
                <c:pt idx="2503">
                  <c:v>0.982</c:v>
                </c:pt>
                <c:pt idx="2504">
                  <c:v>0.328</c:v>
                </c:pt>
                <c:pt idx="2505">
                  <c:v>-9.480</c:v>
                </c:pt>
                <c:pt idx="2506">
                  <c:v>-9.201</c:v>
                </c:pt>
                <c:pt idx="2507">
                  <c:v>3.973</c:v>
                </c:pt>
                <c:pt idx="2508">
                  <c:v>4.810</c:v>
                </c:pt>
                <c:pt idx="2509">
                  <c:v>5.235</c:v>
                </c:pt>
                <c:pt idx="2510">
                  <c:v>5.611</c:v>
                </c:pt>
                <c:pt idx="2511">
                  <c:v>5.948</c:v>
                </c:pt>
                <c:pt idx="2512">
                  <c:v>6.117</c:v>
                </c:pt>
                <c:pt idx="2513">
                  <c:v>6.260</c:v>
                </c:pt>
                <c:pt idx="2514">
                  <c:v>6.439</c:v>
                </c:pt>
                <c:pt idx="2515">
                  <c:v>1.103</c:v>
                </c:pt>
                <c:pt idx="2516">
                  <c:v>0.412</c:v>
                </c:pt>
                <c:pt idx="2517">
                  <c:v>#¡CAMPO!</c:v>
                </c:pt>
                <c:pt idx="2518">
                  <c:v>6.627</c:v>
                </c:pt>
                <c:pt idx="2519">
                  <c:v>6.598</c:v>
                </c:pt>
                <c:pt idx="2520">
                  <c:v>6.533</c:v>
                </c:pt>
                <c:pt idx="2521">
                  <c:v>-1.588</c:v>
                </c:pt>
                <c:pt idx="2522">
                  <c:v>-2.837</c:v>
                </c:pt>
                <c:pt idx="2523">
                  <c:v>6.270</c:v>
                </c:pt>
                <c:pt idx="2524">
                  <c:v>6.100</c:v>
                </c:pt>
                <c:pt idx="2525">
                  <c:v>5.893</c:v>
                </c:pt>
                <c:pt idx="2526">
                  <c:v>-4.085</c:v>
                </c:pt>
                <c:pt idx="2527">
                  <c:v>-5.334</c:v>
                </c:pt>
                <c:pt idx="2528">
                  <c:v>5.409</c:v>
                </c:pt>
                <c:pt idx="2529">
                  <c:v>5.243</c:v>
                </c:pt>
                <c:pt idx="2530">
                  <c:v>4.833</c:v>
                </c:pt>
                <c:pt idx="2531">
                  <c:v>-6.582</c:v>
                </c:pt>
                <c:pt idx="2532">
                  <c:v>-6.633</c:v>
                </c:pt>
                <c:pt idx="2533">
                  <c:v>-6.633</c:v>
                </c:pt>
                <c:pt idx="2534">
                  <c:v>4.168</c:v>
                </c:pt>
                <c:pt idx="2535">
                  <c:v>3.985</c:v>
                </c:pt>
                <c:pt idx="2536">
                  <c:v>3.410</c:v>
                </c:pt>
                <c:pt idx="2537">
                  <c:v>-6.633</c:v>
                </c:pt>
                <c:pt idx="2538">
                  <c:v>-6.633</c:v>
                </c:pt>
                <c:pt idx="2539">
                  <c:v>2.555</c:v>
                </c:pt>
                <c:pt idx="2540">
                  <c:v>2.094</c:v>
                </c:pt>
                <c:pt idx="2541">
                  <c:v>1.576</c:v>
                </c:pt>
                <c:pt idx="2542">
                  <c:v>-6.633</c:v>
                </c:pt>
                <c:pt idx="2543">
                  <c:v>-6.633</c:v>
                </c:pt>
                <c:pt idx="2544">
                  <c:v>0.438</c:v>
                </c:pt>
                <c:pt idx="2545">
                  <c:v>#¡CAMPO!</c:v>
                </c:pt>
                <c:pt idx="2546">
                  <c:v>-6.633</c:v>
                </c:pt>
                <c:pt idx="2547">
                  <c:v>-6.633</c:v>
                </c:pt>
                <c:pt idx="2548">
                  <c:v>-2.057</c:v>
                </c:pt>
                <c:pt idx="2549">
                  <c:v>-3.304</c:v>
                </c:pt>
                <c:pt idx="2550">
                  <c:v>-6.633</c:v>
                </c:pt>
                <c:pt idx="2551">
                  <c:v>-6.633</c:v>
                </c:pt>
                <c:pt idx="2552">
                  <c:v>-4.551</c:v>
                </c:pt>
                <c:pt idx="2553">
                  <c:v>-5.799</c:v>
                </c:pt>
                <c:pt idx="2554">
                  <c:v>-6.633</c:v>
                </c:pt>
                <c:pt idx="2555">
                  <c:v>-6.633</c:v>
                </c:pt>
                <c:pt idx="2556">
                  <c:v>-7.289</c:v>
                </c:pt>
                <c:pt idx="2557">
                  <c:v>-7.289</c:v>
                </c:pt>
                <c:pt idx="2558">
                  <c:v>0.253</c:v>
                </c:pt>
                <c:pt idx="2559">
                  <c:v>0.992</c:v>
                </c:pt>
                <c:pt idx="2560">
                  <c:v>1.483</c:v>
                </c:pt>
                <c:pt idx="2561">
                  <c:v>1.966</c:v>
                </c:pt>
                <c:pt idx="2562">
                  <c:v>2.440</c:v>
                </c:pt>
                <c:pt idx="2563">
                  <c:v>2.882</c:v>
                </c:pt>
                <c:pt idx="2564">
                  <c:v>3.571</c:v>
                </c:pt>
                <c:pt idx="2565">
                  <c:v>4.221</c:v>
                </c:pt>
                <c:pt idx="2566">
                  <c:v>4.599</c:v>
                </c:pt>
                <c:pt idx="2567">
                  <c:v>4.974</c:v>
                </c:pt>
                <c:pt idx="2568">
                  <c:v>5.326</c:v>
                </c:pt>
                <c:pt idx="2569">
                  <c:v>5.653</c:v>
                </c:pt>
                <c:pt idx="2570">
                  <c:v>5.953</c:v>
                </c:pt>
                <c:pt idx="2571">
                  <c:v>6.226</c:v>
                </c:pt>
                <c:pt idx="2572">
                  <c:v>6.470</c:v>
                </c:pt>
                <c:pt idx="2573">
                  <c:v>6.674</c:v>
                </c:pt>
                <c:pt idx="2574">
                  <c:v>6.952</c:v>
                </c:pt>
                <c:pt idx="2575">
                  <c:v>7.080</c:v>
                </c:pt>
                <c:pt idx="2576">
                  <c:v>7.181</c:v>
                </c:pt>
                <c:pt idx="2577">
                  <c:v>7.249</c:v>
                </c:pt>
                <c:pt idx="2578">
                  <c:v>7.283</c:v>
                </c:pt>
                <c:pt idx="2579">
                  <c:v>7.283</c:v>
                </c:pt>
                <c:pt idx="2580">
                  <c:v>7.249</c:v>
                </c:pt>
                <c:pt idx="2581">
                  <c:v>7.181</c:v>
                </c:pt>
                <c:pt idx="2582">
                  <c:v>7.085</c:v>
                </c:pt>
                <c:pt idx="2583">
                  <c:v>6.858</c:v>
                </c:pt>
                <c:pt idx="2584">
                  <c:v>6.684</c:v>
                </c:pt>
                <c:pt idx="2585">
                  <c:v>6.480</c:v>
                </c:pt>
                <c:pt idx="2586">
                  <c:v>6.092</c:v>
                </c:pt>
                <c:pt idx="2587">
                  <c:v>5.651</c:v>
                </c:pt>
                <c:pt idx="2588">
                  <c:v>5.151</c:v>
                </c:pt>
                <c:pt idx="2589">
                  <c:v>4.598</c:v>
                </c:pt>
                <c:pt idx="2590">
                  <c:v>3.996</c:v>
                </c:pt>
                <c:pt idx="2591">
                  <c:v>3.352</c:v>
                </c:pt>
                <c:pt idx="2592">
                  <c:v>2.673</c:v>
                </c:pt>
                <c:pt idx="2593">
                  <c:v>1.966</c:v>
                </c:pt>
                <c:pt idx="2594">
                  <c:v>1.215</c:v>
                </c:pt>
                <c:pt idx="2595">
                  <c:v>0.745</c:v>
                </c:pt>
                <c:pt idx="2596">
                  <c:v>0.248</c:v>
                </c:pt>
                <c:pt idx="2597">
                  <c:v>-7.169</c:v>
                </c:pt>
                <c:pt idx="2598">
                  <c:v>-8.584</c:v>
                </c:pt>
                <c:pt idx="2599">
                  <c:v>-8.584</c:v>
                </c:pt>
                <c:pt idx="2600">
                  <c:v>0.286</c:v>
                </c:pt>
                <c:pt idx="2601">
                  <c:v>1.169</c:v>
                </c:pt>
                <c:pt idx="2602">
                  <c:v>1.746</c:v>
                </c:pt>
                <c:pt idx="2603">
                  <c:v>2.316</c:v>
                </c:pt>
                <c:pt idx="2604">
                  <c:v>2.874</c:v>
                </c:pt>
                <c:pt idx="2605">
                  <c:v>3.408</c:v>
                </c:pt>
                <c:pt idx="2606">
                  <c:v>4.206</c:v>
                </c:pt>
                <c:pt idx="2607">
                  <c:v>4.960</c:v>
                </c:pt>
                <c:pt idx="2608">
                  <c:v>5.417</c:v>
                </c:pt>
                <c:pt idx="2609">
                  <c:v>5.859</c:v>
                </c:pt>
                <c:pt idx="2610">
                  <c:v>6.273</c:v>
                </c:pt>
                <c:pt idx="2611">
                  <c:v>6.658</c:v>
                </c:pt>
                <c:pt idx="2612">
                  <c:v>7.013</c:v>
                </c:pt>
                <c:pt idx="2613">
                  <c:v>7.334</c:v>
                </c:pt>
                <c:pt idx="2614">
                  <c:v>7.621</c:v>
                </c:pt>
                <c:pt idx="2615">
                  <c:v>7.868</c:v>
                </c:pt>
                <c:pt idx="2616">
                  <c:v>8.185</c:v>
                </c:pt>
                <c:pt idx="2617">
                  <c:v>8.339</c:v>
                </c:pt>
                <c:pt idx="2618">
                  <c:v>8.459</c:v>
                </c:pt>
                <c:pt idx="2619">
                  <c:v>8.539</c:v>
                </c:pt>
                <c:pt idx="2620">
                  <c:v>8.579</c:v>
                </c:pt>
                <c:pt idx="2621">
                  <c:v>8.579</c:v>
                </c:pt>
                <c:pt idx="2622">
                  <c:v>8.539</c:v>
                </c:pt>
                <c:pt idx="2623">
                  <c:v>8.459</c:v>
                </c:pt>
                <c:pt idx="2624">
                  <c:v>8.342</c:v>
                </c:pt>
                <c:pt idx="2625">
                  <c:v>8.084</c:v>
                </c:pt>
                <c:pt idx="2626">
                  <c:v>7.873</c:v>
                </c:pt>
                <c:pt idx="2627">
                  <c:v>7.626</c:v>
                </c:pt>
                <c:pt idx="2628">
                  <c:v>7.177</c:v>
                </c:pt>
                <c:pt idx="2629">
                  <c:v>6.658</c:v>
                </c:pt>
                <c:pt idx="2630">
                  <c:v>6.069</c:v>
                </c:pt>
                <c:pt idx="2631">
                  <c:v>5.416</c:v>
                </c:pt>
                <c:pt idx="2632">
                  <c:v>4.707</c:v>
                </c:pt>
                <c:pt idx="2633">
                  <c:v>3.949</c:v>
                </c:pt>
                <c:pt idx="2634">
                  <c:v>3.149</c:v>
                </c:pt>
                <c:pt idx="2635">
                  <c:v>2.316</c:v>
                </c:pt>
                <c:pt idx="2636">
                  <c:v>1.446</c:v>
                </c:pt>
                <c:pt idx="2637">
                  <c:v>0.878</c:v>
                </c:pt>
                <c:pt idx="2638">
                  <c:v>0.293</c:v>
                </c:pt>
                <c:pt idx="2639">
                  <c:v>-8.464</c:v>
                </c:pt>
                <c:pt idx="2640">
                  <c:v>-9.600</c:v>
                </c:pt>
                <c:pt idx="2641">
                  <c:v>-9.600</c:v>
                </c:pt>
                <c:pt idx="2642">
                  <c:v>0.311</c:v>
                </c:pt>
                <c:pt idx="2643">
                  <c:v>1.307</c:v>
                </c:pt>
                <c:pt idx="2644">
                  <c:v>1.953</c:v>
                </c:pt>
                <c:pt idx="2645">
                  <c:v>2.590</c:v>
                </c:pt>
                <c:pt idx="2646">
                  <c:v>3.215</c:v>
                </c:pt>
                <c:pt idx="2647">
                  <c:v>3.821</c:v>
                </c:pt>
                <c:pt idx="2648">
                  <c:v>4.705</c:v>
                </c:pt>
                <c:pt idx="2649">
                  <c:v>5.539</c:v>
                </c:pt>
                <c:pt idx="2650">
                  <c:v>6.058</c:v>
                </c:pt>
                <c:pt idx="2651">
                  <c:v>6.552</c:v>
                </c:pt>
                <c:pt idx="2652">
                  <c:v>7.016</c:v>
                </c:pt>
                <c:pt idx="2653">
                  <c:v>7.447</c:v>
                </c:pt>
                <c:pt idx="2654">
                  <c:v>7.843</c:v>
                </c:pt>
                <c:pt idx="2655">
                  <c:v>8.202</c:v>
                </c:pt>
                <c:pt idx="2656">
                  <c:v>8.523</c:v>
                </c:pt>
                <c:pt idx="2657">
                  <c:v>8.804</c:v>
                </c:pt>
                <c:pt idx="2658">
                  <c:v>9.151</c:v>
                </c:pt>
                <c:pt idx="2659">
                  <c:v>9.327</c:v>
                </c:pt>
                <c:pt idx="2660">
                  <c:v>9.460</c:v>
                </c:pt>
                <c:pt idx="2661">
                  <c:v>9.549</c:v>
                </c:pt>
                <c:pt idx="2662">
                  <c:v>9.594</c:v>
                </c:pt>
                <c:pt idx="2663">
                  <c:v>9.594</c:v>
                </c:pt>
                <c:pt idx="2664">
                  <c:v>9.549</c:v>
                </c:pt>
                <c:pt idx="2665">
                  <c:v>9.460</c:v>
                </c:pt>
                <c:pt idx="2666">
                  <c:v>9.328</c:v>
                </c:pt>
                <c:pt idx="2667">
                  <c:v>9.044</c:v>
                </c:pt>
                <c:pt idx="2668">
                  <c:v>8.805</c:v>
                </c:pt>
                <c:pt idx="2669">
                  <c:v>8.525</c:v>
                </c:pt>
                <c:pt idx="2670">
                  <c:v>8.027</c:v>
                </c:pt>
                <c:pt idx="2671">
                  <c:v>7.446</c:v>
                </c:pt>
                <c:pt idx="2672">
                  <c:v>6.788</c:v>
                </c:pt>
                <c:pt idx="2673">
                  <c:v>6.058</c:v>
                </c:pt>
                <c:pt idx="2674">
                  <c:v>5.265</c:v>
                </c:pt>
                <c:pt idx="2675">
                  <c:v>4.416</c:v>
                </c:pt>
                <c:pt idx="2676">
                  <c:v>3.522</c:v>
                </c:pt>
                <c:pt idx="2677">
                  <c:v>2.590</c:v>
                </c:pt>
                <c:pt idx="2678">
                  <c:v>1.628</c:v>
                </c:pt>
                <c:pt idx="2679">
                  <c:v>0.982</c:v>
                </c:pt>
                <c:pt idx="2680">
                  <c:v>0.328</c:v>
                </c:pt>
                <c:pt idx="2681">
                  <c:v>-9.480</c:v>
                </c:pt>
                <c:pt idx="2682">
                  <c:v>-9.201</c:v>
                </c:pt>
                <c:pt idx="2683">
                  <c:v>-5.489</c:v>
                </c:pt>
                <c:pt idx="2684">
                  <c:v>-6.497</c:v>
                </c:pt>
                <c:pt idx="2685">
                  <c:v>-6.497</c:v>
                </c:pt>
                <c:pt idx="2686">
                  <c:v>-3.631</c:v>
                </c:pt>
                <c:pt idx="2687">
                  <c:v>-1.773</c:v>
                </c:pt>
                <c:pt idx="2688">
                  <c:v>-6.497</c:v>
                </c:pt>
                <c:pt idx="2689">
                  <c:v>-6.497</c:v>
                </c:pt>
                <c:pt idx="2690">
                  <c:v>0.085</c:v>
                </c:pt>
                <c:pt idx="2691">
                  <c:v>0.707</c:v>
                </c:pt>
                <c:pt idx="2692">
                  <c:v>1.117</c:v>
                </c:pt>
                <c:pt idx="2693">
                  <c:v>1.488</c:v>
                </c:pt>
                <c:pt idx="2694">
                  <c:v>1.796</c:v>
                </c:pt>
                <c:pt idx="2695">
                  <c:v>-6.497</c:v>
                </c:pt>
                <c:pt idx="2696">
                  <c:v>-6.497</c:v>
                </c:pt>
                <c:pt idx="2697">
                  <c:v>3.172</c:v>
                </c:pt>
                <c:pt idx="2698">
                  <c:v>3.788</c:v>
                </c:pt>
                <c:pt idx="2699">
                  <c:v>4.302</c:v>
                </c:pt>
                <c:pt idx="2700">
                  <c:v>-6.497</c:v>
                </c:pt>
                <c:pt idx="2701">
                  <c:v>-6.497</c:v>
                </c:pt>
                <c:pt idx="2702">
                  <c:v>-5.464</c:v>
                </c:pt>
                <c:pt idx="2703">
                  <c:v>5.218</c:v>
                </c:pt>
                <c:pt idx="2704">
                  <c:v>5.511</c:v>
                </c:pt>
                <c:pt idx="2705">
                  <c:v>5.838</c:v>
                </c:pt>
                <c:pt idx="2706">
                  <c:v>5.928</c:v>
                </c:pt>
                <c:pt idx="2707">
                  <c:v>-3.604</c:v>
                </c:pt>
                <c:pt idx="2708">
                  <c:v>-1.744</c:v>
                </c:pt>
                <c:pt idx="2709">
                  <c:v>6.384</c:v>
                </c:pt>
                <c:pt idx="2710">
                  <c:v>6.463</c:v>
                </c:pt>
                <c:pt idx="2711">
                  <c:v>6.491</c:v>
                </c:pt>
                <c:pt idx="2712">
                  <c:v>6.491</c:v>
                </c:pt>
                <c:pt idx="2713">
                  <c:v>6.458</c:v>
                </c:pt>
                <c:pt idx="2714">
                  <c:v>0.157</c:v>
                </c:pt>
                <c:pt idx="2715">
                  <c:v>0.715</c:v>
                </c:pt>
                <c:pt idx="2716">
                  <c:v>1.112</c:v>
                </c:pt>
                <c:pt idx="2717">
                  <c:v>1.502</c:v>
                </c:pt>
                <c:pt idx="2718">
                  <c:v>1.851</c:v>
                </c:pt>
                <c:pt idx="2719">
                  <c:v>2.431</c:v>
                </c:pt>
                <c:pt idx="2720">
                  <c:v>2.978</c:v>
                </c:pt>
                <c:pt idx="2721">
                  <c:v>3.277</c:v>
                </c:pt>
                <c:pt idx="2722">
                  <c:v>3.584</c:v>
                </c:pt>
                <c:pt idx="2723">
                  <c:v>4.883</c:v>
                </c:pt>
                <c:pt idx="2724">
                  <c:v>4.883</c:v>
                </c:pt>
                <c:pt idx="2725">
                  <c:v>-7.289</c:v>
                </c:pt>
                <c:pt idx="2726">
                  <c:v>-7.289</c:v>
                </c:pt>
                <c:pt idx="2727">
                  <c:v>0.248</c:v>
                </c:pt>
                <c:pt idx="2728">
                  <c:v>0.745</c:v>
                </c:pt>
                <c:pt idx="2729">
                  <c:v>1.215</c:v>
                </c:pt>
                <c:pt idx="2730">
                  <c:v>1.988</c:v>
                </c:pt>
                <c:pt idx="2731">
                  <c:v>2.440</c:v>
                </c:pt>
                <c:pt idx="2732">
                  <c:v>2.903</c:v>
                </c:pt>
                <c:pt idx="2733">
                  <c:v>3.353</c:v>
                </c:pt>
                <c:pt idx="2734">
                  <c:v>3.766</c:v>
                </c:pt>
                <c:pt idx="2735">
                  <c:v>4.421</c:v>
                </c:pt>
                <c:pt idx="2736">
                  <c:v>4.789</c:v>
                </c:pt>
                <c:pt idx="2737">
                  <c:v>5.136</c:v>
                </c:pt>
                <c:pt idx="2738">
                  <c:v>5.667</c:v>
                </c:pt>
                <c:pt idx="2739">
                  <c:v>5.953</c:v>
                </c:pt>
                <c:pt idx="2740">
                  <c:v>6.226</c:v>
                </c:pt>
                <c:pt idx="2741">
                  <c:v>6.470</c:v>
                </c:pt>
                <c:pt idx="2742">
                  <c:v>6.684</c:v>
                </c:pt>
                <c:pt idx="2743">
                  <c:v>6.866</c:v>
                </c:pt>
                <c:pt idx="2744">
                  <c:v>7.017</c:v>
                </c:pt>
                <c:pt idx="2745">
                  <c:v>7.135</c:v>
                </c:pt>
                <c:pt idx="2746">
                  <c:v>7.215</c:v>
                </c:pt>
                <c:pt idx="2747">
                  <c:v>7.283</c:v>
                </c:pt>
                <c:pt idx="2748">
                  <c:v>7.283</c:v>
                </c:pt>
                <c:pt idx="2749">
                  <c:v>7.249</c:v>
                </c:pt>
                <c:pt idx="2750">
                  <c:v>7.181</c:v>
                </c:pt>
                <c:pt idx="2751">
                  <c:v>7.085</c:v>
                </c:pt>
                <c:pt idx="2752">
                  <c:v>6.858</c:v>
                </c:pt>
                <c:pt idx="2753">
                  <c:v>6.684</c:v>
                </c:pt>
                <c:pt idx="2754">
                  <c:v>6.480</c:v>
                </c:pt>
                <c:pt idx="2755">
                  <c:v>6.092</c:v>
                </c:pt>
                <c:pt idx="2756">
                  <c:v>5.651</c:v>
                </c:pt>
                <c:pt idx="2757">
                  <c:v>5.151</c:v>
                </c:pt>
                <c:pt idx="2758">
                  <c:v>4.598</c:v>
                </c:pt>
                <c:pt idx="2759">
                  <c:v>3.996</c:v>
                </c:pt>
                <c:pt idx="2760">
                  <c:v>3.352</c:v>
                </c:pt>
                <c:pt idx="2761">
                  <c:v>2.673</c:v>
                </c:pt>
                <c:pt idx="2762">
                  <c:v>1.966</c:v>
                </c:pt>
                <c:pt idx="2763">
                  <c:v>1.215</c:v>
                </c:pt>
                <c:pt idx="2764">
                  <c:v>0.745</c:v>
                </c:pt>
                <c:pt idx="2765">
                  <c:v>0.248</c:v>
                </c:pt>
                <c:pt idx="2766">
                  <c:v>-7.169</c:v>
                </c:pt>
                <c:pt idx="2767">
                  <c:v>-8.584</c:v>
                </c:pt>
                <c:pt idx="2768">
                  <c:v>-8.584</c:v>
                </c:pt>
                <c:pt idx="2769">
                  <c:v>0.293</c:v>
                </c:pt>
                <c:pt idx="2770">
                  <c:v>0.878</c:v>
                </c:pt>
                <c:pt idx="2771">
                  <c:v>1.446</c:v>
                </c:pt>
                <c:pt idx="2772">
                  <c:v>2.327</c:v>
                </c:pt>
                <c:pt idx="2773">
                  <c:v>2.874</c:v>
                </c:pt>
                <c:pt idx="2774">
                  <c:v>3.420</c:v>
                </c:pt>
                <c:pt idx="2775">
                  <c:v>3.949</c:v>
                </c:pt>
                <c:pt idx="2776">
                  <c:v>4.449</c:v>
                </c:pt>
                <c:pt idx="2777">
                  <c:v>5.196</c:v>
                </c:pt>
                <c:pt idx="2778">
                  <c:v>5.641</c:v>
                </c:pt>
                <c:pt idx="2779">
                  <c:v>6.061</c:v>
                </c:pt>
                <c:pt idx="2780">
                  <c:v>6.666</c:v>
                </c:pt>
                <c:pt idx="2781">
                  <c:v>7.013</c:v>
                </c:pt>
                <c:pt idx="2782">
                  <c:v>7.334</c:v>
                </c:pt>
                <c:pt idx="2783">
                  <c:v>7.621</c:v>
                </c:pt>
                <c:pt idx="2784">
                  <c:v>7.873</c:v>
                </c:pt>
                <c:pt idx="2785">
                  <c:v>8.088</c:v>
                </c:pt>
                <c:pt idx="2786">
                  <c:v>8.265</c:v>
                </c:pt>
                <c:pt idx="2787">
                  <c:v>8.404</c:v>
                </c:pt>
                <c:pt idx="2788">
                  <c:v>8.502</c:v>
                </c:pt>
                <c:pt idx="2789">
                  <c:v>8.579</c:v>
                </c:pt>
                <c:pt idx="2790">
                  <c:v>8.579</c:v>
                </c:pt>
                <c:pt idx="2791">
                  <c:v>8.539</c:v>
                </c:pt>
                <c:pt idx="2792">
                  <c:v>8.459</c:v>
                </c:pt>
                <c:pt idx="2793">
                  <c:v>8.342</c:v>
                </c:pt>
                <c:pt idx="2794">
                  <c:v>8.084</c:v>
                </c:pt>
                <c:pt idx="2795">
                  <c:v>7.873</c:v>
                </c:pt>
                <c:pt idx="2796">
                  <c:v>7.626</c:v>
                </c:pt>
                <c:pt idx="2797">
                  <c:v>7.177</c:v>
                </c:pt>
                <c:pt idx="2798">
                  <c:v>6.658</c:v>
                </c:pt>
                <c:pt idx="2799">
                  <c:v>6.069</c:v>
                </c:pt>
                <c:pt idx="2800">
                  <c:v>5.416</c:v>
                </c:pt>
                <c:pt idx="2801">
                  <c:v>4.707</c:v>
                </c:pt>
                <c:pt idx="2802">
                  <c:v>3.949</c:v>
                </c:pt>
                <c:pt idx="2803">
                  <c:v>3.149</c:v>
                </c:pt>
                <c:pt idx="2804">
                  <c:v>2.316</c:v>
                </c:pt>
                <c:pt idx="2805">
                  <c:v>1.446</c:v>
                </c:pt>
                <c:pt idx="2806">
                  <c:v>0.878</c:v>
                </c:pt>
                <c:pt idx="2807">
                  <c:v>0.293</c:v>
                </c:pt>
                <c:pt idx="2808">
                  <c:v>-8.464</c:v>
                </c:pt>
                <c:pt idx="2809">
                  <c:v>-9.600</c:v>
                </c:pt>
                <c:pt idx="2810">
                  <c:v>-9.600</c:v>
                </c:pt>
                <c:pt idx="2811">
                  <c:v>0.328</c:v>
                </c:pt>
                <c:pt idx="2812">
                  <c:v>0.982</c:v>
                </c:pt>
                <c:pt idx="2813">
                  <c:v>1.628</c:v>
                </c:pt>
                <c:pt idx="2814">
                  <c:v>2.593</c:v>
                </c:pt>
                <c:pt idx="2815">
                  <c:v>3.215</c:v>
                </c:pt>
                <c:pt idx="2816">
                  <c:v>3.825</c:v>
                </c:pt>
                <c:pt idx="2817">
                  <c:v>4.417</c:v>
                </c:pt>
                <c:pt idx="2818">
                  <c:v>4.985</c:v>
                </c:pt>
                <c:pt idx="2819">
                  <c:v>5.803</c:v>
                </c:pt>
                <c:pt idx="2820">
                  <c:v>6.309</c:v>
                </c:pt>
                <c:pt idx="2821">
                  <c:v>6.786</c:v>
                </c:pt>
                <c:pt idx="2822">
                  <c:v>7.449</c:v>
                </c:pt>
                <c:pt idx="2823">
                  <c:v>7.843</c:v>
                </c:pt>
                <c:pt idx="2824">
                  <c:v>8.202</c:v>
                </c:pt>
                <c:pt idx="2825">
                  <c:v>8.523</c:v>
                </c:pt>
                <c:pt idx="2826">
                  <c:v>8.805</c:v>
                </c:pt>
                <c:pt idx="2827">
                  <c:v>9.045</c:v>
                </c:pt>
                <c:pt idx="2828">
                  <c:v>9.244</c:v>
                </c:pt>
                <c:pt idx="2829">
                  <c:v>9.399</c:v>
                </c:pt>
                <c:pt idx="2830">
                  <c:v>9.510</c:v>
                </c:pt>
                <c:pt idx="2831">
                  <c:v>9.594</c:v>
                </c:pt>
                <c:pt idx="2832">
                  <c:v>9.594</c:v>
                </c:pt>
                <c:pt idx="2833">
                  <c:v>9.549</c:v>
                </c:pt>
                <c:pt idx="2834">
                  <c:v>9.460</c:v>
                </c:pt>
                <c:pt idx="2835">
                  <c:v>9.328</c:v>
                </c:pt>
                <c:pt idx="2836">
                  <c:v>9.044</c:v>
                </c:pt>
                <c:pt idx="2837">
                  <c:v>8.805</c:v>
                </c:pt>
                <c:pt idx="2838">
                  <c:v>8.525</c:v>
                </c:pt>
                <c:pt idx="2839">
                  <c:v>8.027</c:v>
                </c:pt>
                <c:pt idx="2840">
                  <c:v>7.446</c:v>
                </c:pt>
                <c:pt idx="2841">
                  <c:v>6.788</c:v>
                </c:pt>
                <c:pt idx="2842">
                  <c:v>6.058</c:v>
                </c:pt>
                <c:pt idx="2843">
                  <c:v>5.265</c:v>
                </c:pt>
                <c:pt idx="2844">
                  <c:v>4.416</c:v>
                </c:pt>
                <c:pt idx="2845">
                  <c:v>3.522</c:v>
                </c:pt>
                <c:pt idx="2846">
                  <c:v>2.590</c:v>
                </c:pt>
                <c:pt idx="2847">
                  <c:v>1.628</c:v>
                </c:pt>
                <c:pt idx="2848">
                  <c:v>0.982</c:v>
                </c:pt>
                <c:pt idx="2849">
                  <c:v>0.328</c:v>
                </c:pt>
                <c:pt idx="2850">
                  <c:v>-9.480</c:v>
                </c:pt>
                <c:pt idx="2851">
                  <c:v>-9.201</c:v>
                </c:pt>
                <c:pt idx="2852">
                  <c:v>3.729</c:v>
                </c:pt>
                <c:pt idx="2853">
                  <c:v>4.739</c:v>
                </c:pt>
                <c:pt idx="2854">
                  <c:v>5.149</c:v>
                </c:pt>
                <c:pt idx="2855">
                  <c:v>5.511</c:v>
                </c:pt>
                <c:pt idx="2856">
                  <c:v>5.838</c:v>
                </c:pt>
                <c:pt idx="2857">
                  <c:v>5.999</c:v>
                </c:pt>
                <c:pt idx="2858">
                  <c:v>6.136</c:v>
                </c:pt>
                <c:pt idx="2859">
                  <c:v>6.331</c:v>
                </c:pt>
                <c:pt idx="2860">
                  <c:v>6.408</c:v>
                </c:pt>
                <c:pt idx="2861">
                  <c:v>6.457</c:v>
                </c:pt>
                <c:pt idx="2862">
                  <c:v>0.151</c:v>
                </c:pt>
                <c:pt idx="2863">
                  <c:v>#¡CAMPO!</c:v>
                </c:pt>
                <c:pt idx="2864">
                  <c:v>-1.743</c:v>
                </c:pt>
                <c:pt idx="2865">
                  <c:v>6.385</c:v>
                </c:pt>
                <c:pt idx="2866">
                  <c:v>6.273</c:v>
                </c:pt>
                <c:pt idx="2867">
                  <c:v>6.149</c:v>
                </c:pt>
                <c:pt idx="2868">
                  <c:v>5.929</c:v>
                </c:pt>
                <c:pt idx="2869">
                  <c:v>-3.603</c:v>
                </c:pt>
                <c:pt idx="2870">
                  <c:v>-5.463</c:v>
                </c:pt>
                <c:pt idx="2871">
                  <c:v>5.222</c:v>
                </c:pt>
                <c:pt idx="2872">
                  <c:v>4.715</c:v>
                </c:pt>
                <c:pt idx="2873">
                  <c:v>4.303</c:v>
                </c:pt>
                <c:pt idx="2874">
                  <c:v>-6.497</c:v>
                </c:pt>
                <c:pt idx="2875">
                  <c:v>-6.497</c:v>
                </c:pt>
                <c:pt idx="2876">
                  <c:v>3.176</c:v>
                </c:pt>
                <c:pt idx="2877">
                  <c:v>2.510</c:v>
                </c:pt>
                <c:pt idx="2878">
                  <c:v>2.153</c:v>
                </c:pt>
                <c:pt idx="2879">
                  <c:v>1.796</c:v>
                </c:pt>
                <c:pt idx="2880">
                  <c:v>-6.497</c:v>
                </c:pt>
                <c:pt idx="2881">
                  <c:v>-6.497</c:v>
                </c:pt>
                <c:pt idx="2882">
                  <c:v>0.086</c:v>
                </c:pt>
                <c:pt idx="2883">
                  <c:v>-1.773</c:v>
                </c:pt>
                <c:pt idx="2884">
                  <c:v>-6.497</c:v>
                </c:pt>
                <c:pt idx="2885">
                  <c:v>-6.497</c:v>
                </c:pt>
                <c:pt idx="2886">
                  <c:v>-3.631</c:v>
                </c:pt>
                <c:pt idx="2887">
                  <c:v>-5.489</c:v>
                </c:pt>
                <c:pt idx="2888">
                  <c:v>-6.497</c:v>
                </c:pt>
                <c:pt idx="2889">
                  <c:v>-6.497</c:v>
                </c:pt>
                <c:pt idx="2890">
                  <c:v>#¡CAMPO!</c:v>
                </c:pt>
                <c:pt idx="2891">
                  <c:v>#¡CAMPO!</c:v>
                </c:pt>
                <c:pt idx="2892">
                  <c:v>#¡CAMPO!</c:v>
                </c:pt>
                <c:pt idx="2893">
                  <c:v>#¡CAMPO!</c:v>
                </c:pt>
                <c:pt idx="2894">
                  <c:v>#¡CAMPO!</c:v>
                </c:pt>
                <c:pt idx="2895">
                  <c:v>-1.048</c:v>
                </c:pt>
                <c:pt idx="2896">
                  <c:v>-1.055</c:v>
                </c:pt>
                <c:pt idx="2897">
                  <c:v>-1.018</c:v>
                </c:pt>
                <c:pt idx="2898">
                  <c:v>#¡CAMPO!</c:v>
                </c:pt>
                <c:pt idx="2899">
                  <c:v>#¡CAMPO!</c:v>
                </c:pt>
                <c:pt idx="2900">
                  <c:v>#¡CAMPO!</c:v>
                </c:pt>
                <c:pt idx="2901">
                  <c:v>#¡CAMPO!</c:v>
                </c:pt>
                <c:pt idx="2902">
                  <c:v>#¡CAMPO!</c:v>
                </c:pt>
                <c:pt idx="2903">
                  <c:v>#¡CAMPO!</c:v>
                </c:pt>
                <c:pt idx="2904">
                  <c:v>0.068</c:v>
                </c:pt>
                <c:pt idx="2905">
                  <c:v>0.199</c:v>
                </c:pt>
                <c:pt idx="2906">
                  <c:v>0.421</c:v>
                </c:pt>
                <c:pt idx="2907">
                  <c:v>0.61</c:v>
                </c:pt>
                <c:pt idx="2908">
                  <c:v>0.773</c:v>
                </c:pt>
                <c:pt idx="2909">
                  <c:v>0.904</c:v>
                </c:pt>
                <c:pt idx="2910">
                  <c:v>0.997</c:v>
                </c:pt>
                <c:pt idx="2911">
                  <c:v>1.048</c:v>
                </c:pt>
                <c:pt idx="2912">
                  <c:v>1.043</c:v>
                </c:pt>
                <c:pt idx="2913">
                  <c:v>0.97</c:v>
                </c:pt>
                <c:pt idx="2914">
                  <c:v>0.864</c:v>
                </c:pt>
                <c:pt idx="2915">
                  <c:v>0.722</c:v>
                </c:pt>
                <c:pt idx="2916">
                  <c:v>0.55</c:v>
                </c:pt>
                <c:pt idx="2917">
                  <c:v>0.354</c:v>
                </c:pt>
                <c:pt idx="2918">
                  <c:v>0.144</c:v>
                </c:pt>
                <c:pt idx="2919">
                  <c:v>#¡CAMPO!</c:v>
                </c:pt>
                <c:pt idx="2920">
                  <c:v>#¡CAMPO!</c:v>
                </c:pt>
                <c:pt idx="2921">
                  <c:v>#¡CAMPO!</c:v>
                </c:pt>
                <c:pt idx="2922">
                  <c:v>#¡CAMPO!</c:v>
                </c:pt>
                <c:pt idx="2923">
                  <c:v>-1.199</c:v>
                </c:pt>
                <c:pt idx="2924">
                  <c:v>-1.519</c:v>
                </c:pt>
                <c:pt idx="2925">
                  <c:v>-1.776</c:v>
                </c:pt>
                <c:pt idx="2926">
                  <c:v>-1.959</c:v>
                </c:pt>
                <c:pt idx="2927">
                  <c:v>-2.059</c:v>
                </c:pt>
                <c:pt idx="2928">
                  <c:v>-2.074</c:v>
                </c:pt>
                <c:pt idx="2929">
                  <c:v>-2.001</c:v>
                </c:pt>
                <c:pt idx="2930">
                  <c:v>-1.859</c:v>
                </c:pt>
                <c:pt idx="2931">
                  <c:v>-1.701</c:v>
                </c:pt>
                <c:pt idx="2932">
                  <c:v>-1.419</c:v>
                </c:pt>
                <c:pt idx="2933">
                  <c:v>-1.080</c:v>
                </c:pt>
                <c:pt idx="2934">
                  <c:v>#¡CAMPO!</c:v>
                </c:pt>
                <c:pt idx="2935">
                  <c:v>#¡CAMPO!</c:v>
                </c:pt>
                <c:pt idx="2936">
                  <c:v>0.112</c:v>
                </c:pt>
                <c:pt idx="2937">
                  <c:v>0.418</c:v>
                </c:pt>
                <c:pt idx="2938">
                  <c:v>0.828</c:v>
                </c:pt>
                <c:pt idx="2939">
                  <c:v>1.199</c:v>
                </c:pt>
                <c:pt idx="2940">
                  <c:v>1.519</c:v>
                </c:pt>
                <c:pt idx="2941">
                  <c:v>1.776</c:v>
                </c:pt>
                <c:pt idx="2942">
                  <c:v>1.959</c:v>
                </c:pt>
                <c:pt idx="2943">
                  <c:v>2.059</c:v>
                </c:pt>
                <c:pt idx="2944">
                  <c:v>2.074</c:v>
                </c:pt>
                <c:pt idx="2945">
                  <c:v>2.037</c:v>
                </c:pt>
                <c:pt idx="2946">
                  <c:v>1.907</c:v>
                </c:pt>
                <c:pt idx="2947">
                  <c:v>1.698</c:v>
                </c:pt>
                <c:pt idx="2948">
                  <c:v>1.419</c:v>
                </c:pt>
                <c:pt idx="2949">
                  <c:v>1.080</c:v>
                </c:pt>
                <c:pt idx="2950">
                  <c:v>0.696</c:v>
                </c:pt>
                <c:pt idx="2951">
                  <c:v>0.283</c:v>
                </c:pt>
                <c:pt idx="2952">
                  <c:v>#¡CAMPO!</c:v>
                </c:pt>
                <c:pt idx="2953">
                  <c:v>#¡CAMPO!</c:v>
                </c:pt>
                <c:pt idx="2954">
                  <c:v>#¡CAMPO!</c:v>
                </c:pt>
                <c:pt idx="2955">
                  <c:v>#¡CAMPO!</c:v>
                </c:pt>
                <c:pt idx="2956">
                  <c:v>#¡CAMPO!</c:v>
                </c:pt>
                <c:pt idx="2957">
                  <c:v>#¡CAMPO!</c:v>
                </c:pt>
                <c:pt idx="2958">
                  <c:v>#¡CAMPO!</c:v>
                </c:pt>
                <c:pt idx="2959">
                  <c:v>#¡CAMPO!</c:v>
                </c:pt>
                <c:pt idx="2960">
                  <c:v>#¡CAMPO!</c:v>
                </c:pt>
                <c:pt idx="2961">
                  <c:v>#¡CAMPO!</c:v>
                </c:pt>
                <c:pt idx="2962">
                  <c:v>#¡CAMPO!</c:v>
                </c:pt>
                <c:pt idx="2963">
                  <c:v>-1.000</c:v>
                </c:pt>
                <c:pt idx="2964">
                  <c:v>#¡CAMPO!</c:v>
                </c:pt>
                <c:pt idx="2965">
                  <c:v>#¡CAMPO!</c:v>
                </c:pt>
                <c:pt idx="2966">
                  <c:v>#¡CAMPO!</c:v>
                </c:pt>
                <c:pt idx="2967">
                  <c:v>#¡CAMPO!</c:v>
                </c:pt>
                <c:pt idx="2968">
                  <c:v>#¡CAMPO!</c:v>
                </c:pt>
                <c:pt idx="2969">
                  <c:v>#¡CAMPO!</c:v>
                </c:pt>
                <c:pt idx="2970">
                  <c:v>#¡CAMPO!</c:v>
                </c:pt>
                <c:pt idx="2971">
                  <c:v>0.04</c:v>
                </c:pt>
                <c:pt idx="2972">
                  <c:v>0.194</c:v>
                </c:pt>
                <c:pt idx="2973">
                  <c:v>0.399</c:v>
                </c:pt>
                <c:pt idx="2974">
                  <c:v>0.578</c:v>
                </c:pt>
                <c:pt idx="2975">
                  <c:v>0.733</c:v>
                </c:pt>
                <c:pt idx="2976">
                  <c:v>0.856</c:v>
                </c:pt>
                <c:pt idx="2977">
                  <c:v>0.944</c:v>
                </c:pt>
                <c:pt idx="2978">
                  <c:v>0.993</c:v>
                </c:pt>
                <c:pt idx="2979">
                  <c:v>1.000</c:v>
                </c:pt>
                <c:pt idx="2980">
                  <c:v>0.965</c:v>
                </c:pt>
                <c:pt idx="2981">
                  <c:v>0.89</c:v>
                </c:pt>
                <c:pt idx="2982">
                  <c:v>0.773</c:v>
                </c:pt>
                <c:pt idx="2983">
                  <c:v>0.655</c:v>
                </c:pt>
                <c:pt idx="2984">
                  <c:v>0.531</c:v>
                </c:pt>
                <c:pt idx="2985">
                  <c:v>0.336</c:v>
                </c:pt>
                <c:pt idx="2986">
                  <c:v>0.136</c:v>
                </c:pt>
                <c:pt idx="2987">
                  <c:v>#¡CAMPO!</c:v>
                </c:pt>
                <c:pt idx="2988">
                  <c:v>#¡CAMPO!</c:v>
                </c:pt>
                <c:pt idx="2989">
                  <c:v>#¡CAMPO!</c:v>
                </c:pt>
                <c:pt idx="2990">
                  <c:v>-1.167</c:v>
                </c:pt>
                <c:pt idx="2991">
                  <c:v>-1.479</c:v>
                </c:pt>
                <c:pt idx="2992">
                  <c:v>-1.729</c:v>
                </c:pt>
                <c:pt idx="2993">
                  <c:v>-1.907</c:v>
                </c:pt>
                <c:pt idx="2994">
                  <c:v>-2.004</c:v>
                </c:pt>
                <c:pt idx="2995">
                  <c:v>-2.019</c:v>
                </c:pt>
                <c:pt idx="2996">
                  <c:v>-1.948</c:v>
                </c:pt>
                <c:pt idx="2997">
                  <c:v>-1.824</c:v>
                </c:pt>
                <c:pt idx="2998">
                  <c:v>-1.655</c:v>
                </c:pt>
                <c:pt idx="2999">
                  <c:v>-1.381</c:v>
                </c:pt>
                <c:pt idx="3000">
                  <c:v>-1.051</c:v>
                </c:pt>
                <c:pt idx="3001">
                  <c:v>#¡CAMPO!</c:v>
                </c:pt>
                <c:pt idx="3002">
                  <c:v>#¡CAMPO!</c:v>
                </c:pt>
                <c:pt idx="3003">
                  <c:v>0.076</c:v>
                </c:pt>
                <c:pt idx="3004">
                  <c:v>0.409</c:v>
                </c:pt>
                <c:pt idx="3005">
                  <c:v>0.806</c:v>
                </c:pt>
                <c:pt idx="3006">
                  <c:v>1.167</c:v>
                </c:pt>
                <c:pt idx="3007">
                  <c:v>1.479</c:v>
                </c:pt>
                <c:pt idx="3008">
                  <c:v>1.729</c:v>
                </c:pt>
                <c:pt idx="3009">
                  <c:v>1.907</c:v>
                </c:pt>
                <c:pt idx="3010">
                  <c:v>2.004</c:v>
                </c:pt>
                <c:pt idx="3011">
                  <c:v>2.019</c:v>
                </c:pt>
                <c:pt idx="3012">
                  <c:v>1.948</c:v>
                </c:pt>
                <c:pt idx="3013">
                  <c:v>1.796</c:v>
                </c:pt>
                <c:pt idx="3014">
                  <c:v>1.568</c:v>
                </c:pt>
                <c:pt idx="3015">
                  <c:v>1.324</c:v>
                </c:pt>
                <c:pt idx="3016">
                  <c:v>1.054</c:v>
                </c:pt>
                <c:pt idx="3017">
                  <c:v>0.678</c:v>
                </c:pt>
                <c:pt idx="3018">
                  <c:v>0.276</c:v>
                </c:pt>
                <c:pt idx="3019">
                  <c:v>#¡CAMPO!</c:v>
                </c:pt>
                <c:pt idx="3020">
                  <c:v>#¡CAMPO!</c:v>
                </c:pt>
                <c:pt idx="3021">
                  <c:v>#¡CAMPO!</c:v>
                </c:pt>
                <c:pt idx="3022">
                  <c:v>#¡CAMPO!</c:v>
                </c:pt>
                <c:pt idx="3023">
                  <c:v>#¡CAMPO!</c:v>
                </c:pt>
                <c:pt idx="3024">
                  <c:v>#¡CAMPO!</c:v>
                </c:pt>
                <c:pt idx="3025">
                  <c:v>#¡CAMPO!</c:v>
                </c:pt>
                <c:pt idx="3026">
                  <c:v>#¡CAMPO!</c:v>
                </c:pt>
                <c:pt idx="3027">
                  <c:v>#¡CAMPO!</c:v>
                </c:pt>
                <c:pt idx="3028">
                  <c:v>#¡CAMPO!</c:v>
                </c:pt>
                <c:pt idx="3029">
                  <c:v>#¡CAMPO!</c:v>
                </c:pt>
                <c:pt idx="3030">
                  <c:v>#¡CAMPO!</c:v>
                </c:pt>
                <c:pt idx="3031">
                  <c:v>#¡CAMPO!</c:v>
                </c:pt>
                <c:pt idx="3032">
                  <c:v>#¡CAMPO!</c:v>
                </c:pt>
                <c:pt idx="3033">
                  <c:v>#¡CAMPO!</c:v>
                </c:pt>
                <c:pt idx="3034">
                  <c:v>#¡CAMPO!</c:v>
                </c:pt>
                <c:pt idx="3035">
                  <c:v>#¡CAMPO!</c:v>
                </c:pt>
                <c:pt idx="3036">
                  <c:v>#¡CAMPO!</c:v>
                </c:pt>
                <c:pt idx="3037">
                  <c:v>0.019</c:v>
                </c:pt>
                <c:pt idx="3038">
                  <c:v>0.178</c:v>
                </c:pt>
                <c:pt idx="3039">
                  <c:v>0.362</c:v>
                </c:pt>
                <c:pt idx="3040">
                  <c:v>0.524</c:v>
                </c:pt>
                <c:pt idx="3041">
                  <c:v>0.682</c:v>
                </c:pt>
                <c:pt idx="3042">
                  <c:v>0.833</c:v>
                </c:pt>
                <c:pt idx="3043">
                  <c:v>0.889</c:v>
                </c:pt>
                <c:pt idx="3044">
                  <c:v>0.908</c:v>
                </c:pt>
                <c:pt idx="3045">
                  <c:v>0.889</c:v>
                </c:pt>
                <c:pt idx="3046">
                  <c:v>0.833</c:v>
                </c:pt>
                <c:pt idx="3047">
                  <c:v>0.682</c:v>
                </c:pt>
                <c:pt idx="3048">
                  <c:v>0.524</c:v>
                </c:pt>
                <c:pt idx="3049">
                  <c:v>0.362</c:v>
                </c:pt>
                <c:pt idx="3050">
                  <c:v>0.185</c:v>
                </c:pt>
                <c:pt idx="3051">
                  <c:v>#¡CAMPO!</c:v>
                </c:pt>
                <c:pt idx="3052">
                  <c:v>#¡CAMPO!</c:v>
                </c:pt>
                <c:pt idx="3053">
                  <c:v>#¡CAMPO!</c:v>
                </c:pt>
                <c:pt idx="3054">
                  <c:v>-1.118</c:v>
                </c:pt>
                <c:pt idx="3055">
                  <c:v>-1.312</c:v>
                </c:pt>
                <c:pt idx="3056">
                  <c:v>-1.576</c:v>
                </c:pt>
                <c:pt idx="3057">
                  <c:v>-1.769</c:v>
                </c:pt>
                <c:pt idx="3058">
                  <c:v>-1.888</c:v>
                </c:pt>
                <c:pt idx="3059">
                  <c:v>-1.929</c:v>
                </c:pt>
                <c:pt idx="3060">
                  <c:v>-1.888</c:v>
                </c:pt>
                <c:pt idx="3061">
                  <c:v>-1.769</c:v>
                </c:pt>
                <c:pt idx="3062">
                  <c:v>-1.576</c:v>
                </c:pt>
                <c:pt idx="3063">
                  <c:v>-1.316</c:v>
                </c:pt>
                <c:pt idx="3064">
                  <c:v>-1.002</c:v>
                </c:pt>
                <c:pt idx="3065">
                  <c:v>#¡CAMPO!</c:v>
                </c:pt>
                <c:pt idx="3066">
                  <c:v>#¡CAMPO!</c:v>
                </c:pt>
                <c:pt idx="3067">
                  <c:v>0.05</c:v>
                </c:pt>
                <c:pt idx="3068">
                  <c:v>0.39</c:v>
                </c:pt>
                <c:pt idx="3069">
                  <c:v>0.768</c:v>
                </c:pt>
                <c:pt idx="3070">
                  <c:v>1.112</c:v>
                </c:pt>
                <c:pt idx="3071">
                  <c:v>1.415</c:v>
                </c:pt>
                <c:pt idx="3072">
                  <c:v>1.572</c:v>
                </c:pt>
                <c:pt idx="3073">
                  <c:v>1.769</c:v>
                </c:pt>
                <c:pt idx="3074">
                  <c:v>1.888</c:v>
                </c:pt>
                <c:pt idx="3075">
                  <c:v>1.929</c:v>
                </c:pt>
                <c:pt idx="3076">
                  <c:v>1.888</c:v>
                </c:pt>
                <c:pt idx="3077">
                  <c:v>1.769</c:v>
                </c:pt>
                <c:pt idx="3078">
                  <c:v>1.572</c:v>
                </c:pt>
                <c:pt idx="3079">
                  <c:v>1.415</c:v>
                </c:pt>
                <c:pt idx="3080">
                  <c:v>1.112</c:v>
                </c:pt>
                <c:pt idx="3081">
                  <c:v>0.768</c:v>
                </c:pt>
                <c:pt idx="3082">
                  <c:v>0.392</c:v>
                </c:pt>
                <c:pt idx="3083">
                  <c:v>0</c:v>
                </c:pt>
                <c:pt idx="3084">
                  <c:v>#¡CAMPO!</c:v>
                </c:pt>
                <c:pt idx="3085">
                  <c:v>#¡CAMPO!</c:v>
                </c:pt>
                <c:pt idx="3086">
                  <c:v>#¡CAMPO!</c:v>
                </c:pt>
                <c:pt idx="3087">
                  <c:v>#¡CAMPO!</c:v>
                </c:pt>
                <c:pt idx="3088">
                  <c:v>#¡CAMPO!</c:v>
                </c:pt>
                <c:pt idx="3089">
                  <c:v>#¡CAMPO!</c:v>
                </c:pt>
                <c:pt idx="3090">
                  <c:v>#¡CAMPO!</c:v>
                </c:pt>
                <c:pt idx="3091">
                  <c:v>#¡CAMPO!</c:v>
                </c:pt>
                <c:pt idx="3092">
                  <c:v>#¡CAMPO!</c:v>
                </c:pt>
                <c:pt idx="3093">
                  <c:v>#¡CAMPO!</c:v>
                </c:pt>
                <c:pt idx="3094">
                  <c:v>#¡CAMPO!</c:v>
                </c:pt>
                <c:pt idx="3095">
                  <c:v>#¡CAMPO!</c:v>
                </c:pt>
                <c:pt idx="3096">
                  <c:v>#¡CAMPO!</c:v>
                </c:pt>
                <c:pt idx="3097">
                  <c:v>#¡CAMPO!</c:v>
                </c:pt>
                <c:pt idx="3098">
                  <c:v>#¡CAMPO!</c:v>
                </c:pt>
                <c:pt idx="3099">
                  <c:v>#¡CAMPO!</c:v>
                </c:pt>
                <c:pt idx="3100">
                  <c:v>#¡CAMPO!</c:v>
                </c:pt>
                <c:pt idx="3101">
                  <c:v>#¡CAMPO!</c:v>
                </c:pt>
                <c:pt idx="3102">
                  <c:v>0.151</c:v>
                </c:pt>
                <c:pt idx="3103">
                  <c:v>0.306</c:v>
                </c:pt>
                <c:pt idx="3104">
                  <c:v>0.443</c:v>
                </c:pt>
                <c:pt idx="3105">
                  <c:v>0.602</c:v>
                </c:pt>
                <c:pt idx="3106">
                  <c:v>0.705</c:v>
                </c:pt>
                <c:pt idx="3107">
                  <c:v>0.753</c:v>
                </c:pt>
                <c:pt idx="3108">
                  <c:v>0.774</c:v>
                </c:pt>
                <c:pt idx="3109">
                  <c:v>0.724</c:v>
                </c:pt>
                <c:pt idx="3110">
                  <c:v>0.657</c:v>
                </c:pt>
                <c:pt idx="3111">
                  <c:v>0.562</c:v>
                </c:pt>
                <c:pt idx="3112">
                  <c:v>0.443</c:v>
                </c:pt>
                <c:pt idx="3113">
                  <c:v>0.306</c:v>
                </c:pt>
                <c:pt idx="3114">
                  <c:v>0.066</c:v>
                </c:pt>
                <c:pt idx="3115">
                  <c:v>#¡CAMPO!</c:v>
                </c:pt>
                <c:pt idx="3116">
                  <c:v>#¡CAMPO!</c:v>
                </c:pt>
                <c:pt idx="3117">
                  <c:v>#¡CAMPO!</c:v>
                </c:pt>
                <c:pt idx="3118">
                  <c:v>#¡CAMPO!</c:v>
                </c:pt>
                <c:pt idx="3119">
                  <c:v>-1.221</c:v>
                </c:pt>
                <c:pt idx="3120">
                  <c:v>-1.462</c:v>
                </c:pt>
                <c:pt idx="3121">
                  <c:v>-1.641</c:v>
                </c:pt>
                <c:pt idx="3122">
                  <c:v>-1.752</c:v>
                </c:pt>
                <c:pt idx="3123">
                  <c:v>-1.790</c:v>
                </c:pt>
                <c:pt idx="3124">
                  <c:v>-1.752</c:v>
                </c:pt>
                <c:pt idx="3125">
                  <c:v>-1.641</c:v>
                </c:pt>
                <c:pt idx="3126">
                  <c:v>-1.462</c:v>
                </c:pt>
                <c:pt idx="3127">
                  <c:v>-1.221</c:v>
                </c:pt>
                <c:pt idx="3128">
                  <c:v>#¡CAMPO!</c:v>
                </c:pt>
                <c:pt idx="3129">
                  <c:v>#¡CAMPO!</c:v>
                </c:pt>
                <c:pt idx="3130">
                  <c:v>#¡CAMPO!</c:v>
                </c:pt>
                <c:pt idx="3131">
                  <c:v>0.037</c:v>
                </c:pt>
                <c:pt idx="3132">
                  <c:v>0.362</c:v>
                </c:pt>
                <c:pt idx="3133">
                  <c:v>0.713</c:v>
                </c:pt>
                <c:pt idx="3134">
                  <c:v>1.032</c:v>
                </c:pt>
                <c:pt idx="3135">
                  <c:v>1.313</c:v>
                </c:pt>
                <c:pt idx="3136">
                  <c:v>1.459</c:v>
                </c:pt>
                <c:pt idx="3137">
                  <c:v>1.641</c:v>
                </c:pt>
                <c:pt idx="3138">
                  <c:v>1.752</c:v>
                </c:pt>
                <c:pt idx="3139">
                  <c:v>1.790</c:v>
                </c:pt>
                <c:pt idx="3140">
                  <c:v>1.775</c:v>
                </c:pt>
                <c:pt idx="3141">
                  <c:v>1.686</c:v>
                </c:pt>
                <c:pt idx="3142">
                  <c:v>1.529</c:v>
                </c:pt>
                <c:pt idx="3143">
                  <c:v>1.308</c:v>
                </c:pt>
                <c:pt idx="3144">
                  <c:v>1.032</c:v>
                </c:pt>
                <c:pt idx="3145">
                  <c:v>0.713</c:v>
                </c:pt>
                <c:pt idx="3146">
                  <c:v>0.364</c:v>
                </c:pt>
                <c:pt idx="3147">
                  <c:v>#¡CAMPO!</c:v>
                </c:pt>
                <c:pt idx="3148">
                  <c:v>#¡CAMPO!</c:v>
                </c:pt>
                <c:pt idx="3149">
                  <c:v>#¡CAMPO!</c:v>
                </c:pt>
                <c:pt idx="3150">
                  <c:v>#¡CAMPO!</c:v>
                </c:pt>
                <c:pt idx="3151">
                  <c:v>#¡CAMPO!</c:v>
                </c:pt>
                <c:pt idx="3152">
                  <c:v>#¡CAMPO!</c:v>
                </c:pt>
                <c:pt idx="3153">
                  <c:v>#¡CAMPO!</c:v>
                </c:pt>
                <c:pt idx="3154">
                  <c:v>#¡CAMPO!</c:v>
                </c:pt>
                <c:pt idx="3155">
                  <c:v>#¡CAMPO!</c:v>
                </c:pt>
                <c:pt idx="3156">
                  <c:v>#¡CAMPO!</c:v>
                </c:pt>
                <c:pt idx="3157">
                  <c:v>#¡CAMPO!</c:v>
                </c:pt>
                <c:pt idx="3158">
                  <c:v>0.012</c:v>
                </c:pt>
                <c:pt idx="3159">
                  <c:v>0.229</c:v>
                </c:pt>
                <c:pt idx="3160">
                  <c:v>0.42</c:v>
                </c:pt>
                <c:pt idx="3161">
                  <c:v>0.491</c:v>
                </c:pt>
                <c:pt idx="3162">
                  <c:v>0.559</c:v>
                </c:pt>
                <c:pt idx="3163">
                  <c:v>0.575</c:v>
                </c:pt>
                <c:pt idx="3164">
                  <c:v>0.539</c:v>
                </c:pt>
                <c:pt idx="3165">
                  <c:v>0.42</c:v>
                </c:pt>
                <c:pt idx="3166">
                  <c:v>0.229</c:v>
                </c:pt>
                <c:pt idx="3167">
                  <c:v>0.117</c:v>
                </c:pt>
                <c:pt idx="3168">
                  <c:v>#¡CAMPO!</c:v>
                </c:pt>
                <c:pt idx="3169">
                  <c:v>#¡CAMPO!</c:v>
                </c:pt>
                <c:pt idx="3170">
                  <c:v>#¡CAMPO!</c:v>
                </c:pt>
                <c:pt idx="3171">
                  <c:v>#¡CAMPO!</c:v>
                </c:pt>
                <c:pt idx="3172">
                  <c:v>-1.089</c:v>
                </c:pt>
                <c:pt idx="3173">
                  <c:v>-1.304</c:v>
                </c:pt>
                <c:pt idx="3174">
                  <c:v>-1.464</c:v>
                </c:pt>
                <c:pt idx="3175">
                  <c:v>-1.563</c:v>
                </c:pt>
                <c:pt idx="3176">
                  <c:v>-1.596</c:v>
                </c:pt>
                <c:pt idx="3177">
                  <c:v>-1.563</c:v>
                </c:pt>
                <c:pt idx="3178">
                  <c:v>-1.464</c:v>
                </c:pt>
                <c:pt idx="3179">
                  <c:v>-1.304</c:v>
                </c:pt>
                <c:pt idx="3180">
                  <c:v>-1.089</c:v>
                </c:pt>
                <c:pt idx="3181">
                  <c:v>#¡CAMPO!</c:v>
                </c:pt>
                <c:pt idx="3182">
                  <c:v>#¡CAMPO!</c:v>
                </c:pt>
                <c:pt idx="3183">
                  <c:v>#¡CAMPO!</c:v>
                </c:pt>
                <c:pt idx="3184">
                  <c:v>0.044</c:v>
                </c:pt>
                <c:pt idx="3185">
                  <c:v>0.323</c:v>
                </c:pt>
                <c:pt idx="3186">
                  <c:v>0.636</c:v>
                </c:pt>
                <c:pt idx="3187">
                  <c:v>0.92</c:v>
                </c:pt>
                <c:pt idx="3188">
                  <c:v>1.166</c:v>
                </c:pt>
                <c:pt idx="3189">
                  <c:v>1.364</c:v>
                </c:pt>
                <c:pt idx="3190">
                  <c:v>1.507</c:v>
                </c:pt>
                <c:pt idx="3191">
                  <c:v>1.562</c:v>
                </c:pt>
                <c:pt idx="3192">
                  <c:v>1.596</c:v>
                </c:pt>
                <c:pt idx="3193">
                  <c:v>1.562</c:v>
                </c:pt>
                <c:pt idx="3194">
                  <c:v>1.488</c:v>
                </c:pt>
                <c:pt idx="3195">
                  <c:v>1.365</c:v>
                </c:pt>
                <c:pt idx="3196">
                  <c:v>1.166</c:v>
                </c:pt>
                <c:pt idx="3197">
                  <c:v>0.92</c:v>
                </c:pt>
                <c:pt idx="3198">
                  <c:v>0.636</c:v>
                </c:pt>
                <c:pt idx="3199">
                  <c:v>0.325</c:v>
                </c:pt>
                <c:pt idx="3200">
                  <c:v>0</c:v>
                </c:pt>
                <c:pt idx="3201">
                  <c:v>#¡CAMPO!</c:v>
                </c:pt>
                <c:pt idx="3202">
                  <c:v>#¡CAMPO!</c:v>
                </c:pt>
                <c:pt idx="3203">
                  <c:v>#¡CAMPO!</c:v>
                </c:pt>
                <c:pt idx="3204">
                  <c:v>#¡CAMPO!</c:v>
                </c:pt>
                <c:pt idx="3205">
                  <c:v>#¡CAMPO!</c:v>
                </c:pt>
                <c:pt idx="3206">
                  <c:v>#¡CAMPO!</c:v>
                </c:pt>
                <c:pt idx="3207">
                  <c:v>-1.021</c:v>
                </c:pt>
                <c:pt idx="3208">
                  <c:v>-1.136</c:v>
                </c:pt>
                <c:pt idx="3209">
                  <c:v>-1.254</c:v>
                </c:pt>
                <c:pt idx="3210">
                  <c:v>-1.319</c:v>
                </c:pt>
                <c:pt idx="3211">
                  <c:v>-1.328</c:v>
                </c:pt>
                <c:pt idx="3212">
                  <c:v>-1.287</c:v>
                </c:pt>
                <c:pt idx="3213">
                  <c:v>-1.223</c:v>
                </c:pt>
                <c:pt idx="3214">
                  <c:v>-1.088</c:v>
                </c:pt>
                <c:pt idx="3215">
                  <c:v>#¡CAMPO!</c:v>
                </c:pt>
                <c:pt idx="3216">
                  <c:v>#¡CAMPO!</c:v>
                </c:pt>
                <c:pt idx="3217">
                  <c:v>#¡CAMPO!</c:v>
                </c:pt>
                <c:pt idx="3218">
                  <c:v>#¡CAMPO!</c:v>
                </c:pt>
                <c:pt idx="3219">
                  <c:v>0.073</c:v>
                </c:pt>
                <c:pt idx="3220">
                  <c:v>0.266</c:v>
                </c:pt>
                <c:pt idx="3221">
                  <c:v>0.53</c:v>
                </c:pt>
                <c:pt idx="3222">
                  <c:v>0.768</c:v>
                </c:pt>
                <c:pt idx="3223">
                  <c:v>0.973</c:v>
                </c:pt>
                <c:pt idx="3224">
                  <c:v>1.138</c:v>
                </c:pt>
                <c:pt idx="3225">
                  <c:v>1.254</c:v>
                </c:pt>
                <c:pt idx="3226">
                  <c:v>1.319</c:v>
                </c:pt>
                <c:pt idx="3227">
                  <c:v>1.328</c:v>
                </c:pt>
                <c:pt idx="3228">
                  <c:v>1.282</c:v>
                </c:pt>
                <c:pt idx="3229">
                  <c:v>1.182</c:v>
                </c:pt>
                <c:pt idx="3230">
                  <c:v>1.032</c:v>
                </c:pt>
                <c:pt idx="3231">
                  <c:v>0.854</c:v>
                </c:pt>
                <c:pt idx="3232">
                  <c:v>0.696</c:v>
                </c:pt>
                <c:pt idx="3233">
                  <c:v>0.446</c:v>
                </c:pt>
                <c:pt idx="3234">
                  <c:v>0.181</c:v>
                </c:pt>
                <c:pt idx="3235">
                  <c:v>#¡CAMPO!</c:v>
                </c:pt>
                <c:pt idx="3236">
                  <c:v>#¡CAMPO!</c:v>
                </c:pt>
                <c:pt idx="3237">
                  <c:v>#¡CAMPO!</c:v>
                </c:pt>
                <c:pt idx="3238">
                  <c:v>#¡CAMPO!</c:v>
                </c:pt>
                <c:pt idx="3239">
                  <c:v>#¡CAMPO!</c:v>
                </c:pt>
                <c:pt idx="3240">
                  <c:v>#¡CAMPO!</c:v>
                </c:pt>
                <c:pt idx="3241">
                  <c:v>#¡CAMPO!</c:v>
                </c:pt>
                <c:pt idx="3242">
                  <c:v>#¡CAMPO!</c:v>
                </c:pt>
                <c:pt idx="3243">
                  <c:v>#¡CAMPO!</c:v>
                </c:pt>
                <c:pt idx="3244">
                  <c:v>#¡CAMPO!</c:v>
                </c:pt>
                <c:pt idx="3245">
                  <c:v>#¡CAMPO!</c:v>
                </c:pt>
                <c:pt idx="3246">
                  <c:v>#¡CAMPO!</c:v>
                </c:pt>
                <c:pt idx="3247">
                  <c:v>#¡CAMPO!</c:v>
                </c:pt>
                <c:pt idx="3248">
                  <c:v>#¡CAMPO!</c:v>
                </c:pt>
                <c:pt idx="3249">
                  <c:v>#¡CAMPO!</c:v>
                </c:pt>
                <c:pt idx="3250">
                  <c:v>#¡CAMPO!</c:v>
                </c:pt>
                <c:pt idx="3251">
                  <c:v>#¡CAMPO!</c:v>
                </c:pt>
                <c:pt idx="3252">
                  <c:v>#¡CAMPO!</c:v>
                </c:pt>
                <c:pt idx="3253">
                  <c:v>#¡CAMPO!</c:v>
                </c:pt>
                <c:pt idx="3254">
                  <c:v>0.04</c:v>
                </c:pt>
                <c:pt idx="3255">
                  <c:v>0.19</c:v>
                </c:pt>
                <c:pt idx="3256">
                  <c:v>0.379</c:v>
                </c:pt>
                <c:pt idx="3257">
                  <c:v>0.549</c:v>
                </c:pt>
                <c:pt idx="3258">
                  <c:v>0.696</c:v>
                </c:pt>
                <c:pt idx="3259">
                  <c:v>0.813</c:v>
                </c:pt>
                <c:pt idx="3260">
                  <c:v>0.897</c:v>
                </c:pt>
                <c:pt idx="3261">
                  <c:v>0.943</c:v>
                </c:pt>
                <c:pt idx="3262">
                  <c:v>0.95</c:v>
                </c:pt>
                <c:pt idx="3263">
                  <c:v>0.923</c:v>
                </c:pt>
                <c:pt idx="3264">
                  <c:v>0.875</c:v>
                </c:pt>
                <c:pt idx="3265">
                  <c:v>0.778</c:v>
                </c:pt>
                <c:pt idx="3266">
                  <c:v>0.65</c:v>
                </c:pt>
                <c:pt idx="3267">
                  <c:v>0.495</c:v>
                </c:pt>
                <c:pt idx="3268">
                  <c:v>0.319</c:v>
                </c:pt>
                <c:pt idx="3269">
                  <c:v>0.13</c:v>
                </c:pt>
                <c:pt idx="3270">
                  <c:v>#¡CAMPO!</c:v>
                </c:pt>
                <c:pt idx="3271">
                  <c:v>#¡CAMPO!</c:v>
                </c:pt>
                <c:pt idx="3272">
                  <c:v>#¡CAMPO!</c:v>
                </c:pt>
                <c:pt idx="3273">
                  <c:v>#¡CAMPO!</c:v>
                </c:pt>
                <c:pt idx="3274">
                  <c:v>#¡CAMPO!</c:v>
                </c:pt>
                <c:pt idx="3275">
                  <c:v>#¡CAMPO!</c:v>
                </c:pt>
                <c:pt idx="3276">
                  <c:v>#¡CAMPO!</c:v>
                </c:pt>
                <c:pt idx="3277">
                  <c:v>#¡CAMPO!</c:v>
                </c:pt>
                <c:pt idx="3278">
                  <c:v>#¡CAMPO!</c:v>
                </c:pt>
                <c:pt idx="3279">
                  <c:v>#¡CAMPO!</c:v>
                </c:pt>
                <c:pt idx="3280">
                  <c:v>0.15</c:v>
                </c:pt>
                <c:pt idx="3281">
                  <c:v>0.252</c:v>
                </c:pt>
                <c:pt idx="3282">
                  <c:v>0.293</c:v>
                </c:pt>
                <c:pt idx="3283">
                  <c:v>0.28</c:v>
                </c:pt>
                <c:pt idx="3284">
                  <c:v>0.178</c:v>
                </c:pt>
                <c:pt idx="3285">
                  <c:v>0.015</c:v>
                </c:pt>
                <c:pt idx="3286">
                  <c:v>#¡CAMPO!</c:v>
                </c:pt>
              </c:strCache>
            </c:strRef>
          </c:xVal>
          <c:yVal>
            <c:numRef>
              <c:f>Hoja3!$C:$C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 formatCode="#,##0">
                  <c:v>1150</c:v>
                </c:pt>
                <c:pt idx="102" formatCode="#,##0">
                  <c:v>1150</c:v>
                </c:pt>
                <c:pt idx="103" formatCode="#,##0">
                  <c:v>1150</c:v>
                </c:pt>
                <c:pt idx="104" formatCode="#,##0">
                  <c:v>1150</c:v>
                </c:pt>
                <c:pt idx="105" formatCode="#,##0">
                  <c:v>1150</c:v>
                </c:pt>
                <c:pt idx="106" formatCode="#,##0">
                  <c:v>1150</c:v>
                </c:pt>
                <c:pt idx="107" formatCode="#,##0">
                  <c:v>1150</c:v>
                </c:pt>
                <c:pt idx="108" formatCode="#,##0">
                  <c:v>1150</c:v>
                </c:pt>
                <c:pt idx="109" formatCode="#,##0">
                  <c:v>1150</c:v>
                </c:pt>
                <c:pt idx="110" formatCode="#,##0">
                  <c:v>1150</c:v>
                </c:pt>
                <c:pt idx="111" formatCode="#,##0">
                  <c:v>1150</c:v>
                </c:pt>
                <c:pt idx="112" formatCode="#,##0">
                  <c:v>1150</c:v>
                </c:pt>
                <c:pt idx="113" formatCode="#,##0">
                  <c:v>1150</c:v>
                </c:pt>
                <c:pt idx="114" formatCode="#,##0">
                  <c:v>1150</c:v>
                </c:pt>
                <c:pt idx="115" formatCode="#,##0">
                  <c:v>1150</c:v>
                </c:pt>
                <c:pt idx="116" formatCode="#,##0">
                  <c:v>1150</c:v>
                </c:pt>
                <c:pt idx="117" formatCode="#,##0">
                  <c:v>1150</c:v>
                </c:pt>
                <c:pt idx="118" formatCode="#,##0">
                  <c:v>1150</c:v>
                </c:pt>
                <c:pt idx="119" formatCode="#,##0">
                  <c:v>1150</c:v>
                </c:pt>
                <c:pt idx="120" formatCode="#,##0">
                  <c:v>1150</c:v>
                </c:pt>
                <c:pt idx="121" formatCode="#,##0">
                  <c:v>1150</c:v>
                </c:pt>
                <c:pt idx="122" formatCode="#,##0">
                  <c:v>1150</c:v>
                </c:pt>
                <c:pt idx="123" formatCode="#,##0">
                  <c:v>1150</c:v>
                </c:pt>
                <c:pt idx="124" formatCode="#,##0">
                  <c:v>1150</c:v>
                </c:pt>
                <c:pt idx="125" formatCode="#,##0">
                  <c:v>1150</c:v>
                </c:pt>
                <c:pt idx="126" formatCode="#,##0">
                  <c:v>1150</c:v>
                </c:pt>
                <c:pt idx="127" formatCode="#,##0">
                  <c:v>1150</c:v>
                </c:pt>
                <c:pt idx="128" formatCode="#,##0">
                  <c:v>1150</c:v>
                </c:pt>
                <c:pt idx="129" formatCode="#,##0">
                  <c:v>1150</c:v>
                </c:pt>
                <c:pt idx="130" formatCode="#,##0">
                  <c:v>1150</c:v>
                </c:pt>
                <c:pt idx="131" formatCode="#,##0">
                  <c:v>1150</c:v>
                </c:pt>
                <c:pt idx="132" formatCode="#,##0">
                  <c:v>1150</c:v>
                </c:pt>
                <c:pt idx="133" formatCode="#,##0">
                  <c:v>1150</c:v>
                </c:pt>
                <c:pt idx="134" formatCode="#,##0">
                  <c:v>1150</c:v>
                </c:pt>
                <c:pt idx="135" formatCode="#,##0">
                  <c:v>1150</c:v>
                </c:pt>
                <c:pt idx="136" formatCode="#,##0">
                  <c:v>1150</c:v>
                </c:pt>
                <c:pt idx="137" formatCode="#,##0">
                  <c:v>1150</c:v>
                </c:pt>
                <c:pt idx="138" formatCode="#,##0">
                  <c:v>1950</c:v>
                </c:pt>
                <c:pt idx="139" formatCode="#,##0">
                  <c:v>1950</c:v>
                </c:pt>
                <c:pt idx="140" formatCode="#,##0">
                  <c:v>1950</c:v>
                </c:pt>
                <c:pt idx="141" formatCode="#,##0">
                  <c:v>1950</c:v>
                </c:pt>
                <c:pt idx="142" formatCode="#,##0">
                  <c:v>1950</c:v>
                </c:pt>
                <c:pt idx="143" formatCode="#,##0">
                  <c:v>1950</c:v>
                </c:pt>
                <c:pt idx="144" formatCode="#,##0">
                  <c:v>1950</c:v>
                </c:pt>
                <c:pt idx="145" formatCode="#,##0">
                  <c:v>1950</c:v>
                </c:pt>
                <c:pt idx="146" formatCode="#,##0">
                  <c:v>1950</c:v>
                </c:pt>
                <c:pt idx="147" formatCode="#,##0">
                  <c:v>1950</c:v>
                </c:pt>
                <c:pt idx="148" formatCode="#,##0">
                  <c:v>1950</c:v>
                </c:pt>
                <c:pt idx="149" formatCode="#,##0">
                  <c:v>1950</c:v>
                </c:pt>
                <c:pt idx="150" formatCode="#,##0">
                  <c:v>1950</c:v>
                </c:pt>
                <c:pt idx="151" formatCode="#,##0">
                  <c:v>1950</c:v>
                </c:pt>
                <c:pt idx="152" formatCode="#,##0">
                  <c:v>1950</c:v>
                </c:pt>
                <c:pt idx="153" formatCode="#,##0">
                  <c:v>1950</c:v>
                </c:pt>
                <c:pt idx="154" formatCode="#,##0">
                  <c:v>1950</c:v>
                </c:pt>
                <c:pt idx="155" formatCode="#,##0">
                  <c:v>1950</c:v>
                </c:pt>
                <c:pt idx="156" formatCode="#,##0">
                  <c:v>1950</c:v>
                </c:pt>
                <c:pt idx="157" formatCode="#,##0">
                  <c:v>1950</c:v>
                </c:pt>
                <c:pt idx="158" formatCode="#,##0">
                  <c:v>1950</c:v>
                </c:pt>
                <c:pt idx="159" formatCode="#,##0">
                  <c:v>1950</c:v>
                </c:pt>
                <c:pt idx="160" formatCode="#,##0">
                  <c:v>1950</c:v>
                </c:pt>
                <c:pt idx="161" formatCode="#,##0">
                  <c:v>1950</c:v>
                </c:pt>
                <c:pt idx="162" formatCode="#,##0">
                  <c:v>1950</c:v>
                </c:pt>
                <c:pt idx="163" formatCode="#,##0">
                  <c:v>1950</c:v>
                </c:pt>
                <c:pt idx="164" formatCode="#,##0">
                  <c:v>1950</c:v>
                </c:pt>
                <c:pt idx="165" formatCode="#,##0">
                  <c:v>1950</c:v>
                </c:pt>
                <c:pt idx="166" formatCode="#,##0">
                  <c:v>1950</c:v>
                </c:pt>
                <c:pt idx="167" formatCode="#,##0">
                  <c:v>1950</c:v>
                </c:pt>
                <c:pt idx="168" formatCode="#,##0">
                  <c:v>1950</c:v>
                </c:pt>
                <c:pt idx="169" formatCode="#,##0">
                  <c:v>1950</c:v>
                </c:pt>
                <c:pt idx="170" formatCode="#,##0">
                  <c:v>1950</c:v>
                </c:pt>
                <c:pt idx="171" formatCode="#,##0">
                  <c:v>1950</c:v>
                </c:pt>
                <c:pt idx="172" formatCode="#,##0">
                  <c:v>1950</c:v>
                </c:pt>
                <c:pt idx="173" formatCode="#,##0">
                  <c:v>2750</c:v>
                </c:pt>
                <c:pt idx="174" formatCode="#,##0">
                  <c:v>2750</c:v>
                </c:pt>
                <c:pt idx="175" formatCode="#,##0">
                  <c:v>2750</c:v>
                </c:pt>
                <c:pt idx="176" formatCode="#,##0">
                  <c:v>2750</c:v>
                </c:pt>
                <c:pt idx="177" formatCode="#,##0">
                  <c:v>2750</c:v>
                </c:pt>
                <c:pt idx="178" formatCode="#,##0">
                  <c:v>2750</c:v>
                </c:pt>
                <c:pt idx="179" formatCode="#,##0">
                  <c:v>2750</c:v>
                </c:pt>
                <c:pt idx="180" formatCode="#,##0">
                  <c:v>2750</c:v>
                </c:pt>
                <c:pt idx="181" formatCode="#,##0">
                  <c:v>2750</c:v>
                </c:pt>
                <c:pt idx="182" formatCode="#,##0">
                  <c:v>2750</c:v>
                </c:pt>
                <c:pt idx="183" formatCode="#,##0">
                  <c:v>2750</c:v>
                </c:pt>
                <c:pt idx="184" formatCode="#,##0">
                  <c:v>2750</c:v>
                </c:pt>
                <c:pt idx="185" formatCode="#,##0">
                  <c:v>2750</c:v>
                </c:pt>
                <c:pt idx="186" formatCode="#,##0">
                  <c:v>2750</c:v>
                </c:pt>
                <c:pt idx="187" formatCode="#,##0">
                  <c:v>2750</c:v>
                </c:pt>
                <c:pt idx="188" formatCode="#,##0">
                  <c:v>2750</c:v>
                </c:pt>
                <c:pt idx="189" formatCode="#,##0">
                  <c:v>2750</c:v>
                </c:pt>
                <c:pt idx="190" formatCode="#,##0">
                  <c:v>2750</c:v>
                </c:pt>
                <c:pt idx="191" formatCode="#,##0">
                  <c:v>2750</c:v>
                </c:pt>
                <c:pt idx="192" formatCode="#,##0">
                  <c:v>2750</c:v>
                </c:pt>
                <c:pt idx="193" formatCode="#,##0">
                  <c:v>2750</c:v>
                </c:pt>
                <c:pt idx="194" formatCode="#,##0">
                  <c:v>2750</c:v>
                </c:pt>
                <c:pt idx="195" formatCode="#,##0">
                  <c:v>2750</c:v>
                </c:pt>
                <c:pt idx="196" formatCode="#,##0">
                  <c:v>2750</c:v>
                </c:pt>
                <c:pt idx="197" formatCode="#,##0">
                  <c:v>2750</c:v>
                </c:pt>
                <c:pt idx="198" formatCode="#,##0">
                  <c:v>2750</c:v>
                </c:pt>
                <c:pt idx="199" formatCode="#,##0">
                  <c:v>2750</c:v>
                </c:pt>
                <c:pt idx="200" formatCode="#,##0">
                  <c:v>2750</c:v>
                </c:pt>
                <c:pt idx="201" formatCode="#,##0">
                  <c:v>2750</c:v>
                </c:pt>
                <c:pt idx="202" formatCode="#,##0">
                  <c:v>2750</c:v>
                </c:pt>
                <c:pt idx="203" formatCode="#,##0">
                  <c:v>2750</c:v>
                </c:pt>
                <c:pt idx="204" formatCode="#,##0">
                  <c:v>2750</c:v>
                </c:pt>
                <c:pt idx="205" formatCode="#,##0">
                  <c:v>2750</c:v>
                </c:pt>
                <c:pt idx="206" formatCode="#,##0">
                  <c:v>2750</c:v>
                </c:pt>
                <c:pt idx="207" formatCode="#,##0">
                  <c:v>2750</c:v>
                </c:pt>
                <c:pt idx="208" formatCode="#,##0">
                  <c:v>3550</c:v>
                </c:pt>
                <c:pt idx="209" formatCode="#,##0">
                  <c:v>3550</c:v>
                </c:pt>
                <c:pt idx="210" formatCode="#,##0">
                  <c:v>3550</c:v>
                </c:pt>
                <c:pt idx="211" formatCode="#,##0">
                  <c:v>3550</c:v>
                </c:pt>
                <c:pt idx="212" formatCode="#,##0">
                  <c:v>3550</c:v>
                </c:pt>
                <c:pt idx="213" formatCode="#,##0">
                  <c:v>3550</c:v>
                </c:pt>
                <c:pt idx="214" formatCode="#,##0">
                  <c:v>3550</c:v>
                </c:pt>
                <c:pt idx="215" formatCode="#,##0">
                  <c:v>3550</c:v>
                </c:pt>
                <c:pt idx="216" formatCode="#,##0">
                  <c:v>3550</c:v>
                </c:pt>
                <c:pt idx="217" formatCode="#,##0">
                  <c:v>3550</c:v>
                </c:pt>
                <c:pt idx="218" formatCode="#,##0">
                  <c:v>3550</c:v>
                </c:pt>
                <c:pt idx="219" formatCode="#,##0">
                  <c:v>3550</c:v>
                </c:pt>
                <c:pt idx="220" formatCode="#,##0">
                  <c:v>3550</c:v>
                </c:pt>
                <c:pt idx="221" formatCode="#,##0">
                  <c:v>3550</c:v>
                </c:pt>
                <c:pt idx="222" formatCode="#,##0">
                  <c:v>3550</c:v>
                </c:pt>
                <c:pt idx="223" formatCode="#,##0">
                  <c:v>3550</c:v>
                </c:pt>
                <c:pt idx="224" formatCode="#,##0">
                  <c:v>3550</c:v>
                </c:pt>
                <c:pt idx="225" formatCode="#,##0">
                  <c:v>3550</c:v>
                </c:pt>
                <c:pt idx="226" formatCode="#,##0">
                  <c:v>3550</c:v>
                </c:pt>
                <c:pt idx="227" formatCode="#,##0">
                  <c:v>3550</c:v>
                </c:pt>
                <c:pt idx="228" formatCode="#,##0">
                  <c:v>3550</c:v>
                </c:pt>
                <c:pt idx="229" formatCode="#,##0">
                  <c:v>3550</c:v>
                </c:pt>
                <c:pt idx="230" formatCode="#,##0">
                  <c:v>3550</c:v>
                </c:pt>
                <c:pt idx="231" formatCode="#,##0">
                  <c:v>3550</c:v>
                </c:pt>
                <c:pt idx="232" formatCode="#,##0">
                  <c:v>3550</c:v>
                </c:pt>
                <c:pt idx="233" formatCode="#,##0">
                  <c:v>3550</c:v>
                </c:pt>
                <c:pt idx="234" formatCode="#,##0">
                  <c:v>3550</c:v>
                </c:pt>
                <c:pt idx="235" formatCode="#,##0">
                  <c:v>3550</c:v>
                </c:pt>
                <c:pt idx="236" formatCode="#,##0">
                  <c:v>3550</c:v>
                </c:pt>
                <c:pt idx="237" formatCode="#,##0">
                  <c:v>3550</c:v>
                </c:pt>
                <c:pt idx="238" formatCode="#,##0">
                  <c:v>3550</c:v>
                </c:pt>
                <c:pt idx="239" formatCode="#,##0">
                  <c:v>3550</c:v>
                </c:pt>
                <c:pt idx="240" formatCode="#,##0">
                  <c:v>3550</c:v>
                </c:pt>
                <c:pt idx="241" formatCode="#,##0">
                  <c:v>3550</c:v>
                </c:pt>
                <c:pt idx="242" formatCode="#,##0">
                  <c:v>3550</c:v>
                </c:pt>
                <c:pt idx="243" formatCode="#,##0">
                  <c:v>4350</c:v>
                </c:pt>
                <c:pt idx="244" formatCode="#,##0">
                  <c:v>4350</c:v>
                </c:pt>
                <c:pt idx="245" formatCode="#,##0">
                  <c:v>4350</c:v>
                </c:pt>
                <c:pt idx="246" formatCode="#,##0">
                  <c:v>4350</c:v>
                </c:pt>
                <c:pt idx="247" formatCode="#,##0">
                  <c:v>4350</c:v>
                </c:pt>
                <c:pt idx="248" formatCode="#,##0">
                  <c:v>4350</c:v>
                </c:pt>
                <c:pt idx="249" formatCode="#,##0">
                  <c:v>4350</c:v>
                </c:pt>
                <c:pt idx="250" formatCode="#,##0">
                  <c:v>4350</c:v>
                </c:pt>
                <c:pt idx="251" formatCode="#,##0">
                  <c:v>4350</c:v>
                </c:pt>
                <c:pt idx="252" formatCode="#,##0">
                  <c:v>4350</c:v>
                </c:pt>
                <c:pt idx="253" formatCode="#,##0">
                  <c:v>4350</c:v>
                </c:pt>
                <c:pt idx="254" formatCode="#,##0">
                  <c:v>4350</c:v>
                </c:pt>
                <c:pt idx="255" formatCode="#,##0">
                  <c:v>4350</c:v>
                </c:pt>
                <c:pt idx="256" formatCode="#,##0">
                  <c:v>4350</c:v>
                </c:pt>
                <c:pt idx="257" formatCode="#,##0">
                  <c:v>4350</c:v>
                </c:pt>
                <c:pt idx="258" formatCode="#,##0">
                  <c:v>4350</c:v>
                </c:pt>
                <c:pt idx="259" formatCode="#,##0">
                  <c:v>4350</c:v>
                </c:pt>
                <c:pt idx="260" formatCode="#,##0">
                  <c:v>4350</c:v>
                </c:pt>
                <c:pt idx="261" formatCode="#,##0">
                  <c:v>4350</c:v>
                </c:pt>
                <c:pt idx="262" formatCode="#,##0">
                  <c:v>4350</c:v>
                </c:pt>
                <c:pt idx="263" formatCode="#,##0">
                  <c:v>4350</c:v>
                </c:pt>
                <c:pt idx="264" formatCode="#,##0">
                  <c:v>4350</c:v>
                </c:pt>
                <c:pt idx="265" formatCode="#,##0">
                  <c:v>4350</c:v>
                </c:pt>
                <c:pt idx="266" formatCode="#,##0">
                  <c:v>4350</c:v>
                </c:pt>
                <c:pt idx="267" formatCode="#,##0">
                  <c:v>4350</c:v>
                </c:pt>
                <c:pt idx="268" formatCode="#,##0">
                  <c:v>4350</c:v>
                </c:pt>
                <c:pt idx="269" formatCode="#,##0">
                  <c:v>4350</c:v>
                </c:pt>
                <c:pt idx="270" formatCode="#,##0">
                  <c:v>4350</c:v>
                </c:pt>
                <c:pt idx="271" formatCode="#,##0">
                  <c:v>4350</c:v>
                </c:pt>
                <c:pt idx="272" formatCode="#,##0">
                  <c:v>4350</c:v>
                </c:pt>
                <c:pt idx="273" formatCode="#,##0">
                  <c:v>4350</c:v>
                </c:pt>
                <c:pt idx="274" formatCode="#,##0">
                  <c:v>4350</c:v>
                </c:pt>
                <c:pt idx="275" formatCode="#,##0">
                  <c:v>4350</c:v>
                </c:pt>
                <c:pt idx="276" formatCode="#,##0">
                  <c:v>4350</c:v>
                </c:pt>
                <c:pt idx="277" formatCode="#,##0">
                  <c:v>4350</c:v>
                </c:pt>
                <c:pt idx="278" formatCode="#,##0">
                  <c:v>4350</c:v>
                </c:pt>
                <c:pt idx="279" formatCode="#,##0">
                  <c:v>5150</c:v>
                </c:pt>
                <c:pt idx="280" formatCode="#,##0">
                  <c:v>5150</c:v>
                </c:pt>
                <c:pt idx="281" formatCode="#,##0">
                  <c:v>5150</c:v>
                </c:pt>
                <c:pt idx="282" formatCode="#,##0">
                  <c:v>5150</c:v>
                </c:pt>
                <c:pt idx="283" formatCode="#,##0">
                  <c:v>5150</c:v>
                </c:pt>
                <c:pt idx="284" formatCode="#,##0">
                  <c:v>5150</c:v>
                </c:pt>
                <c:pt idx="285" formatCode="#,##0">
                  <c:v>5150</c:v>
                </c:pt>
                <c:pt idx="286" formatCode="#,##0">
                  <c:v>5150</c:v>
                </c:pt>
                <c:pt idx="287" formatCode="#,##0">
                  <c:v>5150</c:v>
                </c:pt>
                <c:pt idx="288" formatCode="#,##0">
                  <c:v>5150</c:v>
                </c:pt>
                <c:pt idx="289" formatCode="#,##0">
                  <c:v>5150</c:v>
                </c:pt>
                <c:pt idx="290" formatCode="#,##0">
                  <c:v>5150</c:v>
                </c:pt>
                <c:pt idx="291" formatCode="#,##0">
                  <c:v>5150</c:v>
                </c:pt>
                <c:pt idx="292" formatCode="#,##0">
                  <c:v>5150</c:v>
                </c:pt>
                <c:pt idx="293" formatCode="#,##0">
                  <c:v>5150</c:v>
                </c:pt>
                <c:pt idx="294" formatCode="#,##0">
                  <c:v>5150</c:v>
                </c:pt>
                <c:pt idx="295" formatCode="#,##0">
                  <c:v>5150</c:v>
                </c:pt>
                <c:pt idx="296" formatCode="#,##0">
                  <c:v>5150</c:v>
                </c:pt>
                <c:pt idx="297" formatCode="#,##0">
                  <c:v>5150</c:v>
                </c:pt>
                <c:pt idx="298" formatCode="#,##0">
                  <c:v>5150</c:v>
                </c:pt>
                <c:pt idx="299" formatCode="#,##0">
                  <c:v>5150</c:v>
                </c:pt>
                <c:pt idx="300" formatCode="#,##0">
                  <c:v>5150</c:v>
                </c:pt>
                <c:pt idx="301" formatCode="#,##0">
                  <c:v>5150</c:v>
                </c:pt>
                <c:pt idx="302" formatCode="#,##0">
                  <c:v>5150</c:v>
                </c:pt>
                <c:pt idx="303" formatCode="#,##0">
                  <c:v>5150</c:v>
                </c:pt>
                <c:pt idx="304" formatCode="#,##0">
                  <c:v>5150</c:v>
                </c:pt>
                <c:pt idx="305" formatCode="#,##0">
                  <c:v>5150</c:v>
                </c:pt>
                <c:pt idx="306" formatCode="#,##0">
                  <c:v>5150</c:v>
                </c:pt>
                <c:pt idx="307" formatCode="#,##0">
                  <c:v>5150</c:v>
                </c:pt>
                <c:pt idx="308" formatCode="#,##0">
                  <c:v>5150</c:v>
                </c:pt>
                <c:pt idx="309" formatCode="#,##0">
                  <c:v>5150</c:v>
                </c:pt>
                <c:pt idx="310" formatCode="#,##0">
                  <c:v>5150</c:v>
                </c:pt>
                <c:pt idx="311" formatCode="#,##0">
                  <c:v>5150</c:v>
                </c:pt>
                <c:pt idx="312" formatCode="#,##0">
                  <c:v>5150</c:v>
                </c:pt>
                <c:pt idx="313" formatCode="#,##0">
                  <c:v>5150</c:v>
                </c:pt>
                <c:pt idx="314">
                  <c:v>0.65</c:v>
                </c:pt>
                <c:pt idx="315">
                  <c:v>0.65</c:v>
                </c:pt>
                <c:pt idx="316">
                  <c:v>0.65</c:v>
                </c:pt>
                <c:pt idx="317">
                  <c:v>0.65</c:v>
                </c:pt>
                <c:pt idx="318">
                  <c:v>0.65</c:v>
                </c:pt>
                <c:pt idx="319">
                  <c:v>0.65</c:v>
                </c:pt>
                <c:pt idx="320">
                  <c:v>0.65</c:v>
                </c:pt>
                <c:pt idx="321">
                  <c:v>0.65</c:v>
                </c:pt>
                <c:pt idx="322">
                  <c:v>0.65</c:v>
                </c:pt>
                <c:pt idx="323">
                  <c:v>0.65</c:v>
                </c:pt>
                <c:pt idx="324">
                  <c:v>0.65</c:v>
                </c:pt>
                <c:pt idx="325">
                  <c:v>0.65</c:v>
                </c:pt>
                <c:pt idx="326">
                  <c:v>0.65</c:v>
                </c:pt>
                <c:pt idx="327">
                  <c:v>0.65</c:v>
                </c:pt>
                <c:pt idx="328">
                  <c:v>0.65</c:v>
                </c:pt>
                <c:pt idx="329">
                  <c:v>0.65</c:v>
                </c:pt>
                <c:pt idx="330">
                  <c:v>0.65</c:v>
                </c:pt>
                <c:pt idx="331">
                  <c:v>0.65</c:v>
                </c:pt>
                <c:pt idx="332">
                  <c:v>0.65</c:v>
                </c:pt>
                <c:pt idx="333">
                  <c:v>0.65</c:v>
                </c:pt>
                <c:pt idx="334">
                  <c:v>0.65</c:v>
                </c:pt>
                <c:pt idx="335">
                  <c:v>0.65</c:v>
                </c:pt>
                <c:pt idx="336">
                  <c:v>0.65</c:v>
                </c:pt>
                <c:pt idx="337">
                  <c:v>0.65</c:v>
                </c:pt>
                <c:pt idx="338">
                  <c:v>0.65</c:v>
                </c:pt>
                <c:pt idx="339">
                  <c:v>0.65</c:v>
                </c:pt>
                <c:pt idx="340">
                  <c:v>0.65</c:v>
                </c:pt>
                <c:pt idx="341">
                  <c:v>0.65</c:v>
                </c:pt>
                <c:pt idx="342">
                  <c:v>0.65</c:v>
                </c:pt>
                <c:pt idx="343">
                  <c:v>0.65</c:v>
                </c:pt>
                <c:pt idx="344">
                  <c:v>0.65</c:v>
                </c:pt>
                <c:pt idx="345">
                  <c:v>0.65</c:v>
                </c:pt>
                <c:pt idx="346">
                  <c:v>0.65</c:v>
                </c:pt>
                <c:pt idx="347">
                  <c:v>0.65</c:v>
                </c:pt>
                <c:pt idx="348">
                  <c:v>0.65</c:v>
                </c:pt>
                <c:pt idx="349">
                  <c:v>0.65</c:v>
                </c:pt>
                <c:pt idx="350">
                  <c:v>0.65</c:v>
                </c:pt>
                <c:pt idx="351">
                  <c:v>0.65</c:v>
                </c:pt>
                <c:pt idx="352">
                  <c:v>0.65</c:v>
                </c:pt>
                <c:pt idx="353">
                  <c:v>0.65</c:v>
                </c:pt>
                <c:pt idx="354">
                  <c:v>0.65</c:v>
                </c:pt>
                <c:pt idx="355">
                  <c:v>0.65</c:v>
                </c:pt>
                <c:pt idx="356">
                  <c:v>0.65</c:v>
                </c:pt>
                <c:pt idx="357">
                  <c:v>0.65</c:v>
                </c:pt>
                <c:pt idx="358">
                  <c:v>0.65</c:v>
                </c:pt>
                <c:pt idx="359">
                  <c:v>0.65</c:v>
                </c:pt>
                <c:pt idx="360">
                  <c:v>0.65</c:v>
                </c:pt>
                <c:pt idx="361">
                  <c:v>0.65</c:v>
                </c:pt>
                <c:pt idx="362">
                  <c:v>0.65</c:v>
                </c:pt>
                <c:pt idx="363">
                  <c:v>0.65</c:v>
                </c:pt>
                <c:pt idx="364">
                  <c:v>0.65</c:v>
                </c:pt>
                <c:pt idx="365">
                  <c:v>0.65</c:v>
                </c:pt>
                <c:pt idx="366">
                  <c:v>0.65</c:v>
                </c:pt>
                <c:pt idx="367">
                  <c:v>0.65</c:v>
                </c:pt>
                <c:pt idx="368">
                  <c:v>0.65</c:v>
                </c:pt>
                <c:pt idx="369">
                  <c:v>0.65</c:v>
                </c:pt>
                <c:pt idx="370">
                  <c:v>0.65</c:v>
                </c:pt>
                <c:pt idx="371">
                  <c:v>0.65</c:v>
                </c:pt>
                <c:pt idx="372">
                  <c:v>0.65</c:v>
                </c:pt>
                <c:pt idx="373">
                  <c:v>0.65</c:v>
                </c:pt>
                <c:pt idx="374">
                  <c:v>0.65</c:v>
                </c:pt>
                <c:pt idx="375">
                  <c:v>0.65</c:v>
                </c:pt>
                <c:pt idx="376">
                  <c:v>0.95</c:v>
                </c:pt>
                <c:pt idx="377">
                  <c:v>0.95</c:v>
                </c:pt>
                <c:pt idx="378">
                  <c:v>0.95</c:v>
                </c:pt>
                <c:pt idx="379">
                  <c:v>0.95</c:v>
                </c:pt>
                <c:pt idx="380">
                  <c:v>0.95</c:v>
                </c:pt>
                <c:pt idx="381">
                  <c:v>0.95</c:v>
                </c:pt>
                <c:pt idx="382">
                  <c:v>0.95</c:v>
                </c:pt>
                <c:pt idx="383">
                  <c:v>0.95</c:v>
                </c:pt>
                <c:pt idx="384">
                  <c:v>0.95</c:v>
                </c:pt>
                <c:pt idx="385">
                  <c:v>0.95</c:v>
                </c:pt>
                <c:pt idx="386">
                  <c:v>0.95</c:v>
                </c:pt>
                <c:pt idx="387">
                  <c:v>0.95</c:v>
                </c:pt>
                <c:pt idx="388">
                  <c:v>0.95</c:v>
                </c:pt>
                <c:pt idx="389">
                  <c:v>0.95</c:v>
                </c:pt>
                <c:pt idx="390">
                  <c:v>0.95</c:v>
                </c:pt>
                <c:pt idx="391">
                  <c:v>0.95</c:v>
                </c:pt>
                <c:pt idx="392">
                  <c:v>0.95</c:v>
                </c:pt>
                <c:pt idx="393">
                  <c:v>0.95</c:v>
                </c:pt>
                <c:pt idx="394">
                  <c:v>0.95</c:v>
                </c:pt>
                <c:pt idx="395">
                  <c:v>0.95</c:v>
                </c:pt>
                <c:pt idx="396">
                  <c:v>0.95</c:v>
                </c:pt>
                <c:pt idx="397">
                  <c:v>0.95</c:v>
                </c:pt>
                <c:pt idx="398">
                  <c:v>0.95</c:v>
                </c:pt>
                <c:pt idx="399">
                  <c:v>0.95</c:v>
                </c:pt>
                <c:pt idx="400">
                  <c:v>0.95</c:v>
                </c:pt>
                <c:pt idx="401">
                  <c:v>0.95</c:v>
                </c:pt>
                <c:pt idx="402">
                  <c:v>0.95</c:v>
                </c:pt>
                <c:pt idx="403">
                  <c:v>0.95</c:v>
                </c:pt>
                <c:pt idx="404">
                  <c:v>0.95</c:v>
                </c:pt>
                <c:pt idx="405">
                  <c:v>0.95</c:v>
                </c:pt>
                <c:pt idx="406">
                  <c:v>0.95</c:v>
                </c:pt>
                <c:pt idx="407">
                  <c:v>0.95</c:v>
                </c:pt>
                <c:pt idx="408">
                  <c:v>0.95</c:v>
                </c:pt>
                <c:pt idx="409">
                  <c:v>0.95</c:v>
                </c:pt>
                <c:pt idx="410">
                  <c:v>0.95</c:v>
                </c:pt>
                <c:pt idx="411">
                  <c:v>0.95</c:v>
                </c:pt>
                <c:pt idx="412">
                  <c:v>0.95</c:v>
                </c:pt>
                <c:pt idx="413">
                  <c:v>0.95</c:v>
                </c:pt>
                <c:pt idx="414">
                  <c:v>0.95</c:v>
                </c:pt>
                <c:pt idx="415">
                  <c:v>0.95</c:v>
                </c:pt>
                <c:pt idx="416">
                  <c:v>0.95</c:v>
                </c:pt>
                <c:pt idx="417">
                  <c:v>0.95</c:v>
                </c:pt>
                <c:pt idx="418">
                  <c:v>0.95</c:v>
                </c:pt>
                <c:pt idx="419">
                  <c:v>0.95</c:v>
                </c:pt>
                <c:pt idx="420">
                  <c:v>0.95</c:v>
                </c:pt>
                <c:pt idx="421">
                  <c:v>0.95</c:v>
                </c:pt>
                <c:pt idx="422">
                  <c:v>0.95</c:v>
                </c:pt>
                <c:pt idx="423">
                  <c:v>0.95</c:v>
                </c:pt>
                <c:pt idx="424">
                  <c:v>0.95</c:v>
                </c:pt>
                <c:pt idx="425">
                  <c:v>0.95</c:v>
                </c:pt>
                <c:pt idx="426">
                  <c:v>0.95</c:v>
                </c:pt>
                <c:pt idx="427">
                  <c:v>0.95</c:v>
                </c:pt>
                <c:pt idx="428">
                  <c:v>0.95</c:v>
                </c:pt>
                <c:pt idx="429">
                  <c:v>0.95</c:v>
                </c:pt>
                <c:pt idx="430">
                  <c:v>0.95</c:v>
                </c:pt>
                <c:pt idx="431">
                  <c:v>0.95</c:v>
                </c:pt>
                <c:pt idx="432">
                  <c:v>0.95</c:v>
                </c:pt>
                <c:pt idx="433">
                  <c:v>0.95</c:v>
                </c:pt>
                <c:pt idx="434">
                  <c:v>0.95</c:v>
                </c:pt>
                <c:pt idx="435">
                  <c:v>0.95</c:v>
                </c:pt>
                <c:pt idx="436">
                  <c:v>0.95</c:v>
                </c:pt>
                <c:pt idx="437">
                  <c:v>0.95</c:v>
                </c:pt>
                <c:pt idx="438">
                  <c:v>0.95</c:v>
                </c:pt>
                <c:pt idx="439">
                  <c:v>0.95</c:v>
                </c:pt>
                <c:pt idx="440">
                  <c:v>0.95</c:v>
                </c:pt>
                <c:pt idx="441">
                  <c:v>0.95</c:v>
                </c:pt>
                <c:pt idx="442">
                  <c:v>0.95</c:v>
                </c:pt>
                <c:pt idx="443">
                  <c:v>0.95</c:v>
                </c:pt>
                <c:pt idx="444">
                  <c:v>0.95</c:v>
                </c:pt>
                <c:pt idx="445">
                  <c:v>0.95</c:v>
                </c:pt>
                <c:pt idx="446">
                  <c:v>0.95</c:v>
                </c:pt>
                <c:pt idx="447">
                  <c:v>0.95</c:v>
                </c:pt>
                <c:pt idx="448">
                  <c:v>0.95</c:v>
                </c:pt>
                <c:pt idx="449">
                  <c:v>0.95</c:v>
                </c:pt>
                <c:pt idx="450">
                  <c:v>0.95</c:v>
                </c:pt>
                <c:pt idx="451">
                  <c:v>0.95</c:v>
                </c:pt>
                <c:pt idx="452">
                  <c:v>0.95</c:v>
                </c:pt>
                <c:pt idx="453">
                  <c:v>0.95</c:v>
                </c:pt>
                <c:pt idx="454">
                  <c:v>0.95</c:v>
                </c:pt>
                <c:pt idx="455">
                  <c:v>0.95</c:v>
                </c:pt>
                <c:pt idx="456">
                  <c:v>0.95</c:v>
                </c:pt>
                <c:pt idx="457">
                  <c:v>0.95</c:v>
                </c:pt>
                <c:pt idx="458">
                  <c:v>0.95</c:v>
                </c:pt>
                <c:pt idx="459">
                  <c:v>0.95</c:v>
                </c:pt>
                <c:pt idx="460">
                  <c:v>0.95</c:v>
                </c:pt>
                <c:pt idx="461">
                  <c:v>0.95</c:v>
                </c:pt>
                <c:pt idx="462">
                  <c:v>0.95</c:v>
                </c:pt>
                <c:pt idx="463">
                  <c:v>0.95</c:v>
                </c:pt>
                <c:pt idx="464">
                  <c:v>0.95</c:v>
                </c:pt>
                <c:pt idx="465">
                  <c:v>0.95</c:v>
                </c:pt>
                <c:pt idx="466">
                  <c:v>0.95</c:v>
                </c:pt>
                <c:pt idx="467">
                  <c:v>0.95</c:v>
                </c:pt>
                <c:pt idx="468">
                  <c:v>0.95</c:v>
                </c:pt>
                <c:pt idx="469">
                  <c:v>0.95</c:v>
                </c:pt>
                <c:pt idx="470">
                  <c:v>0.95</c:v>
                </c:pt>
                <c:pt idx="471">
                  <c:v>0.95</c:v>
                </c:pt>
                <c:pt idx="472">
                  <c:v>0.95</c:v>
                </c:pt>
                <c:pt idx="473">
                  <c:v>0.95</c:v>
                </c:pt>
                <c:pt idx="474">
                  <c:v>0.95</c:v>
                </c:pt>
                <c:pt idx="475">
                  <c:v>0.95</c:v>
                </c:pt>
                <c:pt idx="476">
                  <c:v>0.95</c:v>
                </c:pt>
                <c:pt idx="477">
                  <c:v>0.95</c:v>
                </c:pt>
                <c:pt idx="478">
                  <c:v>0.95</c:v>
                </c:pt>
                <c:pt idx="479">
                  <c:v>0.95</c:v>
                </c:pt>
                <c:pt idx="480">
                  <c:v>0.95</c:v>
                </c:pt>
                <c:pt idx="481">
                  <c:v>0.95</c:v>
                </c:pt>
                <c:pt idx="482">
                  <c:v>0.95</c:v>
                </c:pt>
                <c:pt idx="483">
                  <c:v>0.95</c:v>
                </c:pt>
                <c:pt idx="484">
                  <c:v>0.95</c:v>
                </c:pt>
                <c:pt idx="485">
                  <c:v>0.95</c:v>
                </c:pt>
                <c:pt idx="486">
                  <c:v>0.95</c:v>
                </c:pt>
                <c:pt idx="487">
                  <c:v>0.95</c:v>
                </c:pt>
                <c:pt idx="488">
                  <c:v>0.95</c:v>
                </c:pt>
                <c:pt idx="489">
                  <c:v>0.95</c:v>
                </c:pt>
                <c:pt idx="490">
                  <c:v>0.95</c:v>
                </c:pt>
                <c:pt idx="491">
                  <c:v>0.95</c:v>
                </c:pt>
                <c:pt idx="492">
                  <c:v>0.95</c:v>
                </c:pt>
                <c:pt idx="493">
                  <c:v>0.95</c:v>
                </c:pt>
                <c:pt idx="494">
                  <c:v>0.95</c:v>
                </c:pt>
                <c:pt idx="495">
                  <c:v>0.95</c:v>
                </c:pt>
                <c:pt idx="496">
                  <c:v>0.95</c:v>
                </c:pt>
                <c:pt idx="497">
                  <c:v>0.95</c:v>
                </c:pt>
                <c:pt idx="498">
                  <c:v>0.95</c:v>
                </c:pt>
                <c:pt idx="499">
                  <c:v>0.95</c:v>
                </c:pt>
                <c:pt idx="500">
                  <c:v>0.95</c:v>
                </c:pt>
                <c:pt idx="501">
                  <c:v>0.95</c:v>
                </c:pt>
                <c:pt idx="502">
                  <c:v>0.95</c:v>
                </c:pt>
                <c:pt idx="503">
                  <c:v>0.95</c:v>
                </c:pt>
                <c:pt idx="504">
                  <c:v>0.95</c:v>
                </c:pt>
                <c:pt idx="505">
                  <c:v>0.95</c:v>
                </c:pt>
                <c:pt idx="506">
                  <c:v>0.95</c:v>
                </c:pt>
                <c:pt idx="507">
                  <c:v>0.95</c:v>
                </c:pt>
                <c:pt idx="508">
                  <c:v>0.95</c:v>
                </c:pt>
                <c:pt idx="509">
                  <c:v>0.95</c:v>
                </c:pt>
                <c:pt idx="510">
                  <c:v>0.95</c:v>
                </c:pt>
                <c:pt idx="511">
                  <c:v>0.95</c:v>
                </c:pt>
                <c:pt idx="512">
                  <c:v>0.95</c:v>
                </c:pt>
                <c:pt idx="513">
                  <c:v>0.95</c:v>
                </c:pt>
                <c:pt idx="514">
                  <c:v>0.95</c:v>
                </c:pt>
                <c:pt idx="515">
                  <c:v>0.95</c:v>
                </c:pt>
                <c:pt idx="516">
                  <c:v>0.95</c:v>
                </c:pt>
                <c:pt idx="517">
                  <c:v>0.95</c:v>
                </c:pt>
                <c:pt idx="518">
                  <c:v>0.95</c:v>
                </c:pt>
                <c:pt idx="519">
                  <c:v>0.95</c:v>
                </c:pt>
                <c:pt idx="520">
                  <c:v>0.95</c:v>
                </c:pt>
                <c:pt idx="521">
                  <c:v>0.95</c:v>
                </c:pt>
                <c:pt idx="522">
                  <c:v>0.95</c:v>
                </c:pt>
                <c:pt idx="523">
                  <c:v>0.95</c:v>
                </c:pt>
                <c:pt idx="524">
                  <c:v>0.95</c:v>
                </c:pt>
                <c:pt idx="525">
                  <c:v>0.95</c:v>
                </c:pt>
                <c:pt idx="526">
                  <c:v>0.95</c:v>
                </c:pt>
                <c:pt idx="527">
                  <c:v>0.95</c:v>
                </c:pt>
                <c:pt idx="528">
                  <c:v>0.95</c:v>
                </c:pt>
                <c:pt idx="529">
                  <c:v>0.95</c:v>
                </c:pt>
                <c:pt idx="530">
                  <c:v>0.95</c:v>
                </c:pt>
                <c:pt idx="531">
                  <c:v>0.95</c:v>
                </c:pt>
                <c:pt idx="532">
                  <c:v>0.95</c:v>
                </c:pt>
                <c:pt idx="533">
                  <c:v>0.95</c:v>
                </c:pt>
                <c:pt idx="534">
                  <c:v>0.95</c:v>
                </c:pt>
                <c:pt idx="535">
                  <c:v>0.95</c:v>
                </c:pt>
                <c:pt idx="536">
                  <c:v>0.95</c:v>
                </c:pt>
                <c:pt idx="537">
                  <c:v>0.95</c:v>
                </c:pt>
                <c:pt idx="538">
                  <c:v>0.95</c:v>
                </c:pt>
                <c:pt idx="539">
                  <c:v>0.95</c:v>
                </c:pt>
                <c:pt idx="540">
                  <c:v>0.95</c:v>
                </c:pt>
                <c:pt idx="541">
                  <c:v>0.95</c:v>
                </c:pt>
                <c:pt idx="542">
                  <c:v>0.95</c:v>
                </c:pt>
                <c:pt idx="543">
                  <c:v>0.95</c:v>
                </c:pt>
                <c:pt idx="544" formatCode="#,##0">
                  <c:v>1250</c:v>
                </c:pt>
                <c:pt idx="545" formatCode="#,##0">
                  <c:v>1250</c:v>
                </c:pt>
                <c:pt idx="546" formatCode="#,##0">
                  <c:v>1250</c:v>
                </c:pt>
                <c:pt idx="547" formatCode="#,##0">
                  <c:v>1250</c:v>
                </c:pt>
                <c:pt idx="548" formatCode="#,##0">
                  <c:v>1250</c:v>
                </c:pt>
                <c:pt idx="549" formatCode="#,##0">
                  <c:v>1250</c:v>
                </c:pt>
                <c:pt idx="550" formatCode="#,##0">
                  <c:v>1250</c:v>
                </c:pt>
                <c:pt idx="551" formatCode="#,##0">
                  <c:v>1250</c:v>
                </c:pt>
                <c:pt idx="552" formatCode="#,##0">
                  <c:v>1250</c:v>
                </c:pt>
                <c:pt idx="553" formatCode="#,##0">
                  <c:v>1250</c:v>
                </c:pt>
                <c:pt idx="554" formatCode="#,##0">
                  <c:v>1250</c:v>
                </c:pt>
                <c:pt idx="555" formatCode="#,##0">
                  <c:v>1250</c:v>
                </c:pt>
                <c:pt idx="556" formatCode="#,##0">
                  <c:v>1250</c:v>
                </c:pt>
                <c:pt idx="557" formatCode="#,##0">
                  <c:v>1250</c:v>
                </c:pt>
                <c:pt idx="558" formatCode="#,##0">
                  <c:v>1250</c:v>
                </c:pt>
                <c:pt idx="559" formatCode="#,##0">
                  <c:v>1250</c:v>
                </c:pt>
                <c:pt idx="560" formatCode="#,##0">
                  <c:v>1250</c:v>
                </c:pt>
                <c:pt idx="561" formatCode="#,##0">
                  <c:v>1250</c:v>
                </c:pt>
                <c:pt idx="562" formatCode="#,##0">
                  <c:v>1250</c:v>
                </c:pt>
                <c:pt idx="563" formatCode="#,##0">
                  <c:v>1250</c:v>
                </c:pt>
                <c:pt idx="564" formatCode="#,##0">
                  <c:v>1250</c:v>
                </c:pt>
                <c:pt idx="565" formatCode="#,##0">
                  <c:v>1250</c:v>
                </c:pt>
                <c:pt idx="566" formatCode="#,##0">
                  <c:v>1250</c:v>
                </c:pt>
                <c:pt idx="567" formatCode="#,##0">
                  <c:v>1250</c:v>
                </c:pt>
                <c:pt idx="568" formatCode="#,##0">
                  <c:v>1250</c:v>
                </c:pt>
                <c:pt idx="569" formatCode="#,##0">
                  <c:v>1250</c:v>
                </c:pt>
                <c:pt idx="570" formatCode="#,##0">
                  <c:v>1250</c:v>
                </c:pt>
                <c:pt idx="571" formatCode="#,##0">
                  <c:v>1250</c:v>
                </c:pt>
                <c:pt idx="572" formatCode="#,##0">
                  <c:v>1250</c:v>
                </c:pt>
                <c:pt idx="573" formatCode="#,##0">
                  <c:v>1250</c:v>
                </c:pt>
                <c:pt idx="574" formatCode="#,##0">
                  <c:v>1250</c:v>
                </c:pt>
                <c:pt idx="575" formatCode="#,##0">
                  <c:v>1250</c:v>
                </c:pt>
                <c:pt idx="576" formatCode="#,##0">
                  <c:v>1250</c:v>
                </c:pt>
                <c:pt idx="577" formatCode="#,##0">
                  <c:v>1250</c:v>
                </c:pt>
                <c:pt idx="578" formatCode="#,##0">
                  <c:v>1250</c:v>
                </c:pt>
                <c:pt idx="579" formatCode="#,##0">
                  <c:v>1250</c:v>
                </c:pt>
                <c:pt idx="580" formatCode="#,##0">
                  <c:v>1250</c:v>
                </c:pt>
                <c:pt idx="581" formatCode="#,##0">
                  <c:v>1250</c:v>
                </c:pt>
                <c:pt idx="582" formatCode="#,##0">
                  <c:v>1250</c:v>
                </c:pt>
                <c:pt idx="583" formatCode="#,##0">
                  <c:v>1250</c:v>
                </c:pt>
                <c:pt idx="584" formatCode="#,##0">
                  <c:v>1250</c:v>
                </c:pt>
                <c:pt idx="585" formatCode="#,##0">
                  <c:v>1250</c:v>
                </c:pt>
                <c:pt idx="586" formatCode="#,##0">
                  <c:v>1250</c:v>
                </c:pt>
                <c:pt idx="587" formatCode="#,##0">
                  <c:v>1250</c:v>
                </c:pt>
                <c:pt idx="588" formatCode="#,##0">
                  <c:v>1250</c:v>
                </c:pt>
                <c:pt idx="589" formatCode="#,##0">
                  <c:v>1250</c:v>
                </c:pt>
                <c:pt idx="590" formatCode="#,##0">
                  <c:v>1250</c:v>
                </c:pt>
                <c:pt idx="591" formatCode="#,##0">
                  <c:v>1250</c:v>
                </c:pt>
                <c:pt idx="592" formatCode="#,##0">
                  <c:v>1250</c:v>
                </c:pt>
                <c:pt idx="593" formatCode="#,##0">
                  <c:v>1250</c:v>
                </c:pt>
                <c:pt idx="594" formatCode="#,##0">
                  <c:v>1250</c:v>
                </c:pt>
                <c:pt idx="595" formatCode="#,##0">
                  <c:v>1250</c:v>
                </c:pt>
                <c:pt idx="596" formatCode="#,##0">
                  <c:v>1250</c:v>
                </c:pt>
                <c:pt idx="597" formatCode="#,##0">
                  <c:v>1250</c:v>
                </c:pt>
                <c:pt idx="598" formatCode="#,##0">
                  <c:v>1250</c:v>
                </c:pt>
                <c:pt idx="599" formatCode="#,##0">
                  <c:v>1250</c:v>
                </c:pt>
                <c:pt idx="600" formatCode="#,##0">
                  <c:v>1250</c:v>
                </c:pt>
                <c:pt idx="601" formatCode="#,##0">
                  <c:v>1250</c:v>
                </c:pt>
                <c:pt idx="602" formatCode="#,##0">
                  <c:v>1250</c:v>
                </c:pt>
                <c:pt idx="603" formatCode="#,##0">
                  <c:v>1250</c:v>
                </c:pt>
                <c:pt idx="604" formatCode="#,##0">
                  <c:v>1250</c:v>
                </c:pt>
                <c:pt idx="605" formatCode="#,##0">
                  <c:v>1250</c:v>
                </c:pt>
                <c:pt idx="606" formatCode="#,##0">
                  <c:v>1250</c:v>
                </c:pt>
                <c:pt idx="607" formatCode="#,##0">
                  <c:v>1250</c:v>
                </c:pt>
                <c:pt idx="608" formatCode="#,##0">
                  <c:v>1250</c:v>
                </c:pt>
                <c:pt idx="609" formatCode="#,##0">
                  <c:v>1250</c:v>
                </c:pt>
                <c:pt idx="610" formatCode="#,##0">
                  <c:v>1250</c:v>
                </c:pt>
                <c:pt idx="611" formatCode="#,##0">
                  <c:v>1250</c:v>
                </c:pt>
                <c:pt idx="612" formatCode="#,##0">
                  <c:v>1250</c:v>
                </c:pt>
                <c:pt idx="613" formatCode="#,##0">
                  <c:v>1250</c:v>
                </c:pt>
                <c:pt idx="614" formatCode="#,##0">
                  <c:v>1250</c:v>
                </c:pt>
                <c:pt idx="615" formatCode="#,##0">
                  <c:v>1250</c:v>
                </c:pt>
                <c:pt idx="616" formatCode="#,##0">
                  <c:v>1250</c:v>
                </c:pt>
                <c:pt idx="617" formatCode="#,##0">
                  <c:v>1250</c:v>
                </c:pt>
                <c:pt idx="618" formatCode="#,##0">
                  <c:v>1250</c:v>
                </c:pt>
                <c:pt idx="619" formatCode="#,##0">
                  <c:v>1250</c:v>
                </c:pt>
                <c:pt idx="620" formatCode="#,##0">
                  <c:v>1250</c:v>
                </c:pt>
                <c:pt idx="621" formatCode="#,##0">
                  <c:v>1250</c:v>
                </c:pt>
                <c:pt idx="622" formatCode="#,##0">
                  <c:v>1250</c:v>
                </c:pt>
                <c:pt idx="623" formatCode="#,##0">
                  <c:v>1250</c:v>
                </c:pt>
                <c:pt idx="624" formatCode="#,##0">
                  <c:v>1250</c:v>
                </c:pt>
                <c:pt idx="625" formatCode="#,##0">
                  <c:v>1250</c:v>
                </c:pt>
                <c:pt idx="626" formatCode="#,##0">
                  <c:v>1250</c:v>
                </c:pt>
                <c:pt idx="627" formatCode="#,##0">
                  <c:v>1250</c:v>
                </c:pt>
                <c:pt idx="628" formatCode="#,##0">
                  <c:v>1250</c:v>
                </c:pt>
                <c:pt idx="629" formatCode="#,##0">
                  <c:v>1250</c:v>
                </c:pt>
                <c:pt idx="630" formatCode="#,##0">
                  <c:v>1250</c:v>
                </c:pt>
                <c:pt idx="631" formatCode="#,##0">
                  <c:v>1250</c:v>
                </c:pt>
                <c:pt idx="632" formatCode="#,##0">
                  <c:v>1250</c:v>
                </c:pt>
                <c:pt idx="633" formatCode="#,##0">
                  <c:v>1250</c:v>
                </c:pt>
                <c:pt idx="634" formatCode="#,##0">
                  <c:v>1250</c:v>
                </c:pt>
                <c:pt idx="635" formatCode="#,##0">
                  <c:v>1250</c:v>
                </c:pt>
                <c:pt idx="636" formatCode="#,##0">
                  <c:v>1250</c:v>
                </c:pt>
                <c:pt idx="637" formatCode="#,##0">
                  <c:v>1250</c:v>
                </c:pt>
                <c:pt idx="638" formatCode="#,##0">
                  <c:v>1250</c:v>
                </c:pt>
                <c:pt idx="639" formatCode="#,##0">
                  <c:v>1250</c:v>
                </c:pt>
                <c:pt idx="640" formatCode="#,##0">
                  <c:v>1250</c:v>
                </c:pt>
                <c:pt idx="641" formatCode="#,##0">
                  <c:v>1250</c:v>
                </c:pt>
                <c:pt idx="642" formatCode="#,##0">
                  <c:v>1250</c:v>
                </c:pt>
                <c:pt idx="643" formatCode="#,##0">
                  <c:v>1250</c:v>
                </c:pt>
                <c:pt idx="644" formatCode="#,##0">
                  <c:v>1250</c:v>
                </c:pt>
                <c:pt idx="645" formatCode="#,##0">
                  <c:v>1250</c:v>
                </c:pt>
                <c:pt idx="646" formatCode="#,##0">
                  <c:v>1250</c:v>
                </c:pt>
                <c:pt idx="647" formatCode="#,##0">
                  <c:v>1250</c:v>
                </c:pt>
                <c:pt idx="648" formatCode="#,##0">
                  <c:v>1250</c:v>
                </c:pt>
                <c:pt idx="649" formatCode="#,##0">
                  <c:v>1250</c:v>
                </c:pt>
                <c:pt idx="650" formatCode="#,##0">
                  <c:v>1250</c:v>
                </c:pt>
                <c:pt idx="651" formatCode="#,##0">
                  <c:v>1250</c:v>
                </c:pt>
                <c:pt idx="652" formatCode="#,##0">
                  <c:v>1250</c:v>
                </c:pt>
                <c:pt idx="653" formatCode="#,##0">
                  <c:v>1250</c:v>
                </c:pt>
                <c:pt idx="654" formatCode="#,##0">
                  <c:v>1250</c:v>
                </c:pt>
                <c:pt idx="655" formatCode="#,##0">
                  <c:v>1250</c:v>
                </c:pt>
                <c:pt idx="656" formatCode="#,##0">
                  <c:v>1250</c:v>
                </c:pt>
                <c:pt idx="657" formatCode="#,##0">
                  <c:v>1250</c:v>
                </c:pt>
                <c:pt idx="658" formatCode="#,##0">
                  <c:v>1250</c:v>
                </c:pt>
                <c:pt idx="659" formatCode="#,##0">
                  <c:v>1250</c:v>
                </c:pt>
                <c:pt idx="660" formatCode="#,##0">
                  <c:v>1250</c:v>
                </c:pt>
                <c:pt idx="661" formatCode="#,##0">
                  <c:v>1250</c:v>
                </c:pt>
                <c:pt idx="662" formatCode="#,##0">
                  <c:v>1250</c:v>
                </c:pt>
                <c:pt idx="663" formatCode="#,##0">
                  <c:v>1250</c:v>
                </c:pt>
                <c:pt idx="664" formatCode="#,##0">
                  <c:v>1250</c:v>
                </c:pt>
                <c:pt idx="665" formatCode="#,##0">
                  <c:v>1250</c:v>
                </c:pt>
                <c:pt idx="666" formatCode="#,##0">
                  <c:v>1250</c:v>
                </c:pt>
                <c:pt idx="667" formatCode="#,##0">
                  <c:v>1250</c:v>
                </c:pt>
                <c:pt idx="668" formatCode="#,##0">
                  <c:v>1250</c:v>
                </c:pt>
                <c:pt idx="669" formatCode="#,##0">
                  <c:v>1250</c:v>
                </c:pt>
                <c:pt idx="670" formatCode="#,##0">
                  <c:v>1250</c:v>
                </c:pt>
                <c:pt idx="671" formatCode="#,##0">
                  <c:v>1250</c:v>
                </c:pt>
                <c:pt idx="672" formatCode="#,##0">
                  <c:v>1250</c:v>
                </c:pt>
                <c:pt idx="673" formatCode="#,##0">
                  <c:v>1250</c:v>
                </c:pt>
                <c:pt idx="674" formatCode="#,##0">
                  <c:v>1250</c:v>
                </c:pt>
                <c:pt idx="675" formatCode="#,##0">
                  <c:v>1250</c:v>
                </c:pt>
                <c:pt idx="676" formatCode="#,##0">
                  <c:v>1250</c:v>
                </c:pt>
                <c:pt idx="677" formatCode="#,##0">
                  <c:v>1250</c:v>
                </c:pt>
                <c:pt idx="678" formatCode="#,##0">
                  <c:v>1250</c:v>
                </c:pt>
                <c:pt idx="679" formatCode="#,##0">
                  <c:v>1250</c:v>
                </c:pt>
                <c:pt idx="680" formatCode="#,##0">
                  <c:v>1250</c:v>
                </c:pt>
                <c:pt idx="681" formatCode="#,##0">
                  <c:v>1250</c:v>
                </c:pt>
                <c:pt idx="682" formatCode="#,##0">
                  <c:v>1250</c:v>
                </c:pt>
                <c:pt idx="683" formatCode="#,##0">
                  <c:v>1250</c:v>
                </c:pt>
                <c:pt idx="684" formatCode="#,##0">
                  <c:v>1250</c:v>
                </c:pt>
                <c:pt idx="685" formatCode="#,##0">
                  <c:v>1250</c:v>
                </c:pt>
                <c:pt idx="686" formatCode="#,##0">
                  <c:v>1250</c:v>
                </c:pt>
                <c:pt idx="687" formatCode="#,##0">
                  <c:v>1250</c:v>
                </c:pt>
                <c:pt idx="688" formatCode="#,##0">
                  <c:v>1250</c:v>
                </c:pt>
                <c:pt idx="689" formatCode="#,##0">
                  <c:v>1250</c:v>
                </c:pt>
                <c:pt idx="690" formatCode="#,##0">
                  <c:v>1250</c:v>
                </c:pt>
                <c:pt idx="691" formatCode="#,##0">
                  <c:v>1250</c:v>
                </c:pt>
                <c:pt idx="692" formatCode="#,##0">
                  <c:v>1250</c:v>
                </c:pt>
                <c:pt idx="693" formatCode="#,##0">
                  <c:v>1250</c:v>
                </c:pt>
                <c:pt idx="694" formatCode="#,##0">
                  <c:v>1250</c:v>
                </c:pt>
                <c:pt idx="695" formatCode="#,##0">
                  <c:v>1250</c:v>
                </c:pt>
                <c:pt idx="696" formatCode="#,##0">
                  <c:v>1250</c:v>
                </c:pt>
                <c:pt idx="697" formatCode="#,##0">
                  <c:v>1250</c:v>
                </c:pt>
                <c:pt idx="698" formatCode="#,##0">
                  <c:v>1250</c:v>
                </c:pt>
                <c:pt idx="699" formatCode="#,##0">
                  <c:v>1250</c:v>
                </c:pt>
                <c:pt idx="700" formatCode="#,##0">
                  <c:v>1250</c:v>
                </c:pt>
                <c:pt idx="701" formatCode="#,##0">
                  <c:v>1250</c:v>
                </c:pt>
                <c:pt idx="702" formatCode="#,##0">
                  <c:v>1250</c:v>
                </c:pt>
                <c:pt idx="703" formatCode="#,##0">
                  <c:v>1250</c:v>
                </c:pt>
                <c:pt idx="704" formatCode="#,##0">
                  <c:v>1250</c:v>
                </c:pt>
                <c:pt idx="705" formatCode="#,##0">
                  <c:v>1250</c:v>
                </c:pt>
                <c:pt idx="706" formatCode="#,##0">
                  <c:v>1250</c:v>
                </c:pt>
                <c:pt idx="707" formatCode="#,##0">
                  <c:v>1250</c:v>
                </c:pt>
                <c:pt idx="708" formatCode="#,##0">
                  <c:v>1250</c:v>
                </c:pt>
                <c:pt idx="709" formatCode="#,##0">
                  <c:v>1250</c:v>
                </c:pt>
                <c:pt idx="710" formatCode="#,##0">
                  <c:v>1550</c:v>
                </c:pt>
                <c:pt idx="711" formatCode="#,##0">
                  <c:v>1550</c:v>
                </c:pt>
                <c:pt idx="712" formatCode="#,##0">
                  <c:v>1550</c:v>
                </c:pt>
                <c:pt idx="713" formatCode="#,##0">
                  <c:v>1550</c:v>
                </c:pt>
                <c:pt idx="714" formatCode="#,##0">
                  <c:v>1550</c:v>
                </c:pt>
                <c:pt idx="715" formatCode="#,##0">
                  <c:v>1550</c:v>
                </c:pt>
                <c:pt idx="716" formatCode="#,##0">
                  <c:v>1550</c:v>
                </c:pt>
                <c:pt idx="717" formatCode="#,##0">
                  <c:v>1550</c:v>
                </c:pt>
                <c:pt idx="718" formatCode="#,##0">
                  <c:v>1550</c:v>
                </c:pt>
                <c:pt idx="719" formatCode="#,##0">
                  <c:v>1550</c:v>
                </c:pt>
                <c:pt idx="720" formatCode="#,##0">
                  <c:v>1550</c:v>
                </c:pt>
                <c:pt idx="721" formatCode="#,##0">
                  <c:v>1550</c:v>
                </c:pt>
                <c:pt idx="722" formatCode="#,##0">
                  <c:v>1550</c:v>
                </c:pt>
                <c:pt idx="723" formatCode="#,##0">
                  <c:v>1550</c:v>
                </c:pt>
                <c:pt idx="724" formatCode="#,##0">
                  <c:v>1550</c:v>
                </c:pt>
                <c:pt idx="725" formatCode="#,##0">
                  <c:v>1550</c:v>
                </c:pt>
                <c:pt idx="726" formatCode="#,##0">
                  <c:v>1550</c:v>
                </c:pt>
                <c:pt idx="727" formatCode="#,##0">
                  <c:v>1550</c:v>
                </c:pt>
                <c:pt idx="728" formatCode="#,##0">
                  <c:v>1550</c:v>
                </c:pt>
                <c:pt idx="729" formatCode="#,##0">
                  <c:v>1550</c:v>
                </c:pt>
                <c:pt idx="730" formatCode="#,##0">
                  <c:v>1550</c:v>
                </c:pt>
                <c:pt idx="731" formatCode="#,##0">
                  <c:v>1550</c:v>
                </c:pt>
                <c:pt idx="732" formatCode="#,##0">
                  <c:v>1550</c:v>
                </c:pt>
                <c:pt idx="733" formatCode="#,##0">
                  <c:v>1550</c:v>
                </c:pt>
                <c:pt idx="734" formatCode="#,##0">
                  <c:v>1550</c:v>
                </c:pt>
                <c:pt idx="735" formatCode="#,##0">
                  <c:v>1550</c:v>
                </c:pt>
                <c:pt idx="736" formatCode="#,##0">
                  <c:v>1550</c:v>
                </c:pt>
                <c:pt idx="737" formatCode="#,##0">
                  <c:v>1550</c:v>
                </c:pt>
                <c:pt idx="738" formatCode="#,##0">
                  <c:v>1550</c:v>
                </c:pt>
                <c:pt idx="739" formatCode="#,##0">
                  <c:v>1550</c:v>
                </c:pt>
                <c:pt idx="740" formatCode="#,##0">
                  <c:v>1550</c:v>
                </c:pt>
                <c:pt idx="741" formatCode="#,##0">
                  <c:v>1550</c:v>
                </c:pt>
                <c:pt idx="742" formatCode="#,##0">
                  <c:v>1550</c:v>
                </c:pt>
                <c:pt idx="743" formatCode="#,##0">
                  <c:v>1550</c:v>
                </c:pt>
                <c:pt idx="744" formatCode="#,##0">
                  <c:v>1550</c:v>
                </c:pt>
                <c:pt idx="745" formatCode="#,##0">
                  <c:v>1550</c:v>
                </c:pt>
                <c:pt idx="746" formatCode="#,##0">
                  <c:v>1550</c:v>
                </c:pt>
                <c:pt idx="747" formatCode="#,##0">
                  <c:v>1550</c:v>
                </c:pt>
                <c:pt idx="748" formatCode="#,##0">
                  <c:v>1550</c:v>
                </c:pt>
                <c:pt idx="749" formatCode="#,##0">
                  <c:v>1550</c:v>
                </c:pt>
                <c:pt idx="750" formatCode="#,##0">
                  <c:v>1550</c:v>
                </c:pt>
                <c:pt idx="751" formatCode="#,##0">
                  <c:v>1550</c:v>
                </c:pt>
                <c:pt idx="752" formatCode="#,##0">
                  <c:v>1550</c:v>
                </c:pt>
                <c:pt idx="753" formatCode="#,##0">
                  <c:v>1550</c:v>
                </c:pt>
                <c:pt idx="754" formatCode="#,##0">
                  <c:v>1550</c:v>
                </c:pt>
                <c:pt idx="755" formatCode="#,##0">
                  <c:v>1550</c:v>
                </c:pt>
                <c:pt idx="756" formatCode="#,##0">
                  <c:v>1550</c:v>
                </c:pt>
                <c:pt idx="757" formatCode="#,##0">
                  <c:v>1550</c:v>
                </c:pt>
                <c:pt idx="758" formatCode="#,##0">
                  <c:v>1550</c:v>
                </c:pt>
                <c:pt idx="759" formatCode="#,##0">
                  <c:v>1550</c:v>
                </c:pt>
                <c:pt idx="760" formatCode="#,##0">
                  <c:v>1550</c:v>
                </c:pt>
                <c:pt idx="761" formatCode="#,##0">
                  <c:v>1550</c:v>
                </c:pt>
                <c:pt idx="762" formatCode="#,##0">
                  <c:v>1550</c:v>
                </c:pt>
                <c:pt idx="763" formatCode="#,##0">
                  <c:v>1550</c:v>
                </c:pt>
                <c:pt idx="764" formatCode="#,##0">
                  <c:v>1550</c:v>
                </c:pt>
                <c:pt idx="765" formatCode="#,##0">
                  <c:v>1550</c:v>
                </c:pt>
                <c:pt idx="766" formatCode="#,##0">
                  <c:v>1550</c:v>
                </c:pt>
                <c:pt idx="767" formatCode="#,##0">
                  <c:v>1550</c:v>
                </c:pt>
                <c:pt idx="768" formatCode="#,##0">
                  <c:v>1550</c:v>
                </c:pt>
                <c:pt idx="769" formatCode="#,##0">
                  <c:v>1550</c:v>
                </c:pt>
                <c:pt idx="770" formatCode="#,##0">
                  <c:v>1550</c:v>
                </c:pt>
                <c:pt idx="771" formatCode="#,##0">
                  <c:v>1550</c:v>
                </c:pt>
                <c:pt idx="772" formatCode="#,##0">
                  <c:v>1550</c:v>
                </c:pt>
                <c:pt idx="773" formatCode="#,##0">
                  <c:v>1550</c:v>
                </c:pt>
                <c:pt idx="774" formatCode="#,##0">
                  <c:v>1550</c:v>
                </c:pt>
                <c:pt idx="775" formatCode="#,##0">
                  <c:v>1550</c:v>
                </c:pt>
                <c:pt idx="776" formatCode="#,##0">
                  <c:v>1550</c:v>
                </c:pt>
                <c:pt idx="777" formatCode="#,##0">
                  <c:v>1550</c:v>
                </c:pt>
                <c:pt idx="778" formatCode="#,##0">
                  <c:v>1550</c:v>
                </c:pt>
                <c:pt idx="779" formatCode="#,##0">
                  <c:v>1550</c:v>
                </c:pt>
                <c:pt idx="780" formatCode="#,##0">
                  <c:v>1550</c:v>
                </c:pt>
                <c:pt idx="781" formatCode="#,##0">
                  <c:v>1550</c:v>
                </c:pt>
                <c:pt idx="782" formatCode="#,##0">
                  <c:v>1550</c:v>
                </c:pt>
                <c:pt idx="783" formatCode="#,##0">
                  <c:v>1550</c:v>
                </c:pt>
                <c:pt idx="784" formatCode="#,##0">
                  <c:v>1550</c:v>
                </c:pt>
                <c:pt idx="785" formatCode="#,##0">
                  <c:v>1550</c:v>
                </c:pt>
                <c:pt idx="786" formatCode="#,##0">
                  <c:v>1550</c:v>
                </c:pt>
                <c:pt idx="787" formatCode="#,##0">
                  <c:v>1550</c:v>
                </c:pt>
                <c:pt idx="788" formatCode="#,##0">
                  <c:v>1550</c:v>
                </c:pt>
                <c:pt idx="789" formatCode="#,##0">
                  <c:v>1550</c:v>
                </c:pt>
                <c:pt idx="790" formatCode="#,##0">
                  <c:v>1550</c:v>
                </c:pt>
                <c:pt idx="791" formatCode="#,##0">
                  <c:v>1550</c:v>
                </c:pt>
                <c:pt idx="792" formatCode="#,##0">
                  <c:v>1550</c:v>
                </c:pt>
                <c:pt idx="793" formatCode="#,##0">
                  <c:v>1550</c:v>
                </c:pt>
                <c:pt idx="794" formatCode="#,##0">
                  <c:v>1550</c:v>
                </c:pt>
                <c:pt idx="795" formatCode="#,##0">
                  <c:v>1550</c:v>
                </c:pt>
                <c:pt idx="796" formatCode="#,##0">
                  <c:v>1550</c:v>
                </c:pt>
                <c:pt idx="797" formatCode="#,##0">
                  <c:v>1550</c:v>
                </c:pt>
                <c:pt idx="798" formatCode="#,##0">
                  <c:v>1550</c:v>
                </c:pt>
                <c:pt idx="799" formatCode="#,##0">
                  <c:v>1550</c:v>
                </c:pt>
                <c:pt idx="800" formatCode="#,##0">
                  <c:v>1550</c:v>
                </c:pt>
                <c:pt idx="801" formatCode="#,##0">
                  <c:v>1550</c:v>
                </c:pt>
                <c:pt idx="802" formatCode="#,##0">
                  <c:v>1550</c:v>
                </c:pt>
                <c:pt idx="803" formatCode="#,##0">
                  <c:v>1550</c:v>
                </c:pt>
                <c:pt idx="804" formatCode="#,##0">
                  <c:v>1550</c:v>
                </c:pt>
                <c:pt idx="805" formatCode="#,##0">
                  <c:v>1550</c:v>
                </c:pt>
                <c:pt idx="806" formatCode="#,##0">
                  <c:v>1550</c:v>
                </c:pt>
                <c:pt idx="807" formatCode="#,##0">
                  <c:v>1550</c:v>
                </c:pt>
                <c:pt idx="808" formatCode="#,##0">
                  <c:v>1550</c:v>
                </c:pt>
                <c:pt idx="809" formatCode="#,##0">
                  <c:v>1550</c:v>
                </c:pt>
                <c:pt idx="810" formatCode="#,##0">
                  <c:v>1550</c:v>
                </c:pt>
                <c:pt idx="811" formatCode="#,##0">
                  <c:v>1550</c:v>
                </c:pt>
                <c:pt idx="812" formatCode="#,##0">
                  <c:v>1550</c:v>
                </c:pt>
                <c:pt idx="813" formatCode="#,##0">
                  <c:v>1550</c:v>
                </c:pt>
                <c:pt idx="814" formatCode="#,##0">
                  <c:v>1550</c:v>
                </c:pt>
                <c:pt idx="815" formatCode="#,##0">
                  <c:v>1550</c:v>
                </c:pt>
                <c:pt idx="816" formatCode="#,##0">
                  <c:v>1550</c:v>
                </c:pt>
                <c:pt idx="817" formatCode="#,##0">
                  <c:v>1550</c:v>
                </c:pt>
                <c:pt idx="818" formatCode="#,##0">
                  <c:v>1550</c:v>
                </c:pt>
                <c:pt idx="819" formatCode="#,##0">
                  <c:v>1550</c:v>
                </c:pt>
                <c:pt idx="820" formatCode="#,##0">
                  <c:v>1550</c:v>
                </c:pt>
                <c:pt idx="821" formatCode="#,##0">
                  <c:v>1550</c:v>
                </c:pt>
                <c:pt idx="822" formatCode="#,##0">
                  <c:v>1550</c:v>
                </c:pt>
                <c:pt idx="823" formatCode="#,##0">
                  <c:v>1550</c:v>
                </c:pt>
                <c:pt idx="824" formatCode="#,##0">
                  <c:v>1550</c:v>
                </c:pt>
                <c:pt idx="825" formatCode="#,##0">
                  <c:v>1550</c:v>
                </c:pt>
                <c:pt idx="826" formatCode="#,##0">
                  <c:v>1550</c:v>
                </c:pt>
                <c:pt idx="827" formatCode="#,##0">
                  <c:v>1550</c:v>
                </c:pt>
                <c:pt idx="828" formatCode="#,##0">
                  <c:v>1550</c:v>
                </c:pt>
                <c:pt idx="829" formatCode="#,##0">
                  <c:v>1550</c:v>
                </c:pt>
                <c:pt idx="830" formatCode="#,##0">
                  <c:v>1550</c:v>
                </c:pt>
                <c:pt idx="831" formatCode="#,##0">
                  <c:v>1550</c:v>
                </c:pt>
                <c:pt idx="832" formatCode="#,##0">
                  <c:v>1550</c:v>
                </c:pt>
                <c:pt idx="833" formatCode="#,##0">
                  <c:v>1550</c:v>
                </c:pt>
                <c:pt idx="834" formatCode="#,##0">
                  <c:v>1550</c:v>
                </c:pt>
                <c:pt idx="835" formatCode="#,##0">
                  <c:v>1550</c:v>
                </c:pt>
                <c:pt idx="836" formatCode="#,##0">
                  <c:v>1550</c:v>
                </c:pt>
                <c:pt idx="837" formatCode="#,##0">
                  <c:v>1550</c:v>
                </c:pt>
                <c:pt idx="838" formatCode="#,##0">
                  <c:v>1550</c:v>
                </c:pt>
                <c:pt idx="839" formatCode="#,##0">
                  <c:v>1550</c:v>
                </c:pt>
                <c:pt idx="840" formatCode="#,##0">
                  <c:v>1550</c:v>
                </c:pt>
                <c:pt idx="841" formatCode="#,##0">
                  <c:v>1550</c:v>
                </c:pt>
                <c:pt idx="842" formatCode="#,##0">
                  <c:v>1550</c:v>
                </c:pt>
                <c:pt idx="843" formatCode="#,##0">
                  <c:v>1550</c:v>
                </c:pt>
                <c:pt idx="844" formatCode="#,##0">
                  <c:v>1550</c:v>
                </c:pt>
                <c:pt idx="845" formatCode="#,##0">
                  <c:v>1550</c:v>
                </c:pt>
                <c:pt idx="846" formatCode="#,##0">
                  <c:v>1550</c:v>
                </c:pt>
                <c:pt idx="847" formatCode="#,##0">
                  <c:v>1550</c:v>
                </c:pt>
                <c:pt idx="848" formatCode="#,##0">
                  <c:v>1550</c:v>
                </c:pt>
                <c:pt idx="849" formatCode="#,##0">
                  <c:v>1550</c:v>
                </c:pt>
                <c:pt idx="850" formatCode="#,##0">
                  <c:v>1550</c:v>
                </c:pt>
                <c:pt idx="851" formatCode="#,##0">
                  <c:v>1550</c:v>
                </c:pt>
                <c:pt idx="852" formatCode="#,##0">
                  <c:v>1550</c:v>
                </c:pt>
                <c:pt idx="853" formatCode="#,##0">
                  <c:v>1550</c:v>
                </c:pt>
                <c:pt idx="854" formatCode="#,##0">
                  <c:v>1550</c:v>
                </c:pt>
                <c:pt idx="855" formatCode="#,##0">
                  <c:v>1550</c:v>
                </c:pt>
                <c:pt idx="856" formatCode="#,##0">
                  <c:v>1550</c:v>
                </c:pt>
                <c:pt idx="857" formatCode="#,##0">
                  <c:v>1550</c:v>
                </c:pt>
                <c:pt idx="858" formatCode="#,##0">
                  <c:v>1550</c:v>
                </c:pt>
                <c:pt idx="859" formatCode="#,##0">
                  <c:v>1550</c:v>
                </c:pt>
                <c:pt idx="860" formatCode="#,##0">
                  <c:v>1550</c:v>
                </c:pt>
                <c:pt idx="861" formatCode="#,##0">
                  <c:v>1550</c:v>
                </c:pt>
                <c:pt idx="862" formatCode="#,##0">
                  <c:v>1550</c:v>
                </c:pt>
                <c:pt idx="863" formatCode="#,##0">
                  <c:v>1550</c:v>
                </c:pt>
                <c:pt idx="864" formatCode="#,##0">
                  <c:v>1550</c:v>
                </c:pt>
                <c:pt idx="865" formatCode="#,##0">
                  <c:v>1550</c:v>
                </c:pt>
                <c:pt idx="866" formatCode="#,##0">
                  <c:v>1550</c:v>
                </c:pt>
                <c:pt idx="867" formatCode="#,##0">
                  <c:v>1550</c:v>
                </c:pt>
                <c:pt idx="868" formatCode="#,##0">
                  <c:v>1550</c:v>
                </c:pt>
                <c:pt idx="869" formatCode="#,##0">
                  <c:v>1550</c:v>
                </c:pt>
                <c:pt idx="870" formatCode="#,##0">
                  <c:v>1550</c:v>
                </c:pt>
                <c:pt idx="871" formatCode="#,##0">
                  <c:v>1550</c:v>
                </c:pt>
                <c:pt idx="872" formatCode="#,##0">
                  <c:v>1550</c:v>
                </c:pt>
                <c:pt idx="873" formatCode="#,##0">
                  <c:v>1550</c:v>
                </c:pt>
                <c:pt idx="874" formatCode="#,##0">
                  <c:v>1550</c:v>
                </c:pt>
                <c:pt idx="875" formatCode="#,##0">
                  <c:v>1550</c:v>
                </c:pt>
                <c:pt idx="876" formatCode="#,##0">
                  <c:v>1550</c:v>
                </c:pt>
                <c:pt idx="877" formatCode="#,##0">
                  <c:v>1850</c:v>
                </c:pt>
                <c:pt idx="878" formatCode="#,##0">
                  <c:v>1850</c:v>
                </c:pt>
                <c:pt idx="879" formatCode="#,##0">
                  <c:v>1850</c:v>
                </c:pt>
                <c:pt idx="880" formatCode="#,##0">
                  <c:v>1850</c:v>
                </c:pt>
                <c:pt idx="881" formatCode="#,##0">
                  <c:v>1850</c:v>
                </c:pt>
                <c:pt idx="882" formatCode="#,##0">
                  <c:v>1850</c:v>
                </c:pt>
                <c:pt idx="883" formatCode="#,##0">
                  <c:v>1850</c:v>
                </c:pt>
                <c:pt idx="884" formatCode="#,##0">
                  <c:v>1850</c:v>
                </c:pt>
                <c:pt idx="885" formatCode="#,##0">
                  <c:v>1850</c:v>
                </c:pt>
                <c:pt idx="886" formatCode="#,##0">
                  <c:v>1850</c:v>
                </c:pt>
                <c:pt idx="887" formatCode="#,##0">
                  <c:v>1850</c:v>
                </c:pt>
                <c:pt idx="888" formatCode="#,##0">
                  <c:v>1850</c:v>
                </c:pt>
                <c:pt idx="889" formatCode="#,##0">
                  <c:v>1850</c:v>
                </c:pt>
                <c:pt idx="890" formatCode="#,##0">
                  <c:v>1850</c:v>
                </c:pt>
                <c:pt idx="891" formatCode="#,##0">
                  <c:v>1850</c:v>
                </c:pt>
                <c:pt idx="892" formatCode="#,##0">
                  <c:v>1850</c:v>
                </c:pt>
                <c:pt idx="893" formatCode="#,##0">
                  <c:v>1850</c:v>
                </c:pt>
                <c:pt idx="894" formatCode="#,##0">
                  <c:v>1850</c:v>
                </c:pt>
                <c:pt idx="895" formatCode="#,##0">
                  <c:v>1850</c:v>
                </c:pt>
                <c:pt idx="896" formatCode="#,##0">
                  <c:v>1850</c:v>
                </c:pt>
                <c:pt idx="897" formatCode="#,##0">
                  <c:v>1850</c:v>
                </c:pt>
                <c:pt idx="898" formatCode="#,##0">
                  <c:v>1850</c:v>
                </c:pt>
                <c:pt idx="899" formatCode="#,##0">
                  <c:v>1850</c:v>
                </c:pt>
                <c:pt idx="900" formatCode="#,##0">
                  <c:v>1850</c:v>
                </c:pt>
                <c:pt idx="901" formatCode="#,##0">
                  <c:v>1850</c:v>
                </c:pt>
                <c:pt idx="902" formatCode="#,##0">
                  <c:v>1850</c:v>
                </c:pt>
                <c:pt idx="903" formatCode="#,##0">
                  <c:v>1850</c:v>
                </c:pt>
                <c:pt idx="904" formatCode="#,##0">
                  <c:v>1850</c:v>
                </c:pt>
                <c:pt idx="905" formatCode="#,##0">
                  <c:v>1850</c:v>
                </c:pt>
                <c:pt idx="906" formatCode="#,##0">
                  <c:v>1850</c:v>
                </c:pt>
                <c:pt idx="907" formatCode="#,##0">
                  <c:v>1850</c:v>
                </c:pt>
                <c:pt idx="908" formatCode="#,##0">
                  <c:v>1850</c:v>
                </c:pt>
                <c:pt idx="909" formatCode="#,##0">
                  <c:v>1850</c:v>
                </c:pt>
                <c:pt idx="910" formatCode="#,##0">
                  <c:v>1850</c:v>
                </c:pt>
                <c:pt idx="911" formatCode="#,##0">
                  <c:v>1850</c:v>
                </c:pt>
                <c:pt idx="912" formatCode="#,##0">
                  <c:v>1850</c:v>
                </c:pt>
                <c:pt idx="913" formatCode="#,##0">
                  <c:v>1850</c:v>
                </c:pt>
                <c:pt idx="914" formatCode="#,##0">
                  <c:v>1850</c:v>
                </c:pt>
                <c:pt idx="915" formatCode="#,##0">
                  <c:v>1850</c:v>
                </c:pt>
                <c:pt idx="916" formatCode="#,##0">
                  <c:v>1850</c:v>
                </c:pt>
                <c:pt idx="917" formatCode="#,##0">
                  <c:v>1850</c:v>
                </c:pt>
                <c:pt idx="918" formatCode="#,##0">
                  <c:v>1850</c:v>
                </c:pt>
                <c:pt idx="919" formatCode="#,##0">
                  <c:v>1850</c:v>
                </c:pt>
                <c:pt idx="920" formatCode="#,##0">
                  <c:v>1850</c:v>
                </c:pt>
                <c:pt idx="921" formatCode="#,##0">
                  <c:v>1850</c:v>
                </c:pt>
                <c:pt idx="922" formatCode="#,##0">
                  <c:v>1850</c:v>
                </c:pt>
                <c:pt idx="923" formatCode="#,##0">
                  <c:v>1850</c:v>
                </c:pt>
                <c:pt idx="924" formatCode="#,##0">
                  <c:v>1850</c:v>
                </c:pt>
                <c:pt idx="925" formatCode="#,##0">
                  <c:v>1850</c:v>
                </c:pt>
                <c:pt idx="926" formatCode="#,##0">
                  <c:v>1850</c:v>
                </c:pt>
                <c:pt idx="927" formatCode="#,##0">
                  <c:v>1850</c:v>
                </c:pt>
                <c:pt idx="928" formatCode="#,##0">
                  <c:v>1850</c:v>
                </c:pt>
                <c:pt idx="929" formatCode="#,##0">
                  <c:v>1850</c:v>
                </c:pt>
                <c:pt idx="930" formatCode="#,##0">
                  <c:v>1850</c:v>
                </c:pt>
                <c:pt idx="931" formatCode="#,##0">
                  <c:v>1850</c:v>
                </c:pt>
                <c:pt idx="932" formatCode="#,##0">
                  <c:v>1850</c:v>
                </c:pt>
                <c:pt idx="933" formatCode="#,##0">
                  <c:v>1850</c:v>
                </c:pt>
                <c:pt idx="934" formatCode="#,##0">
                  <c:v>1850</c:v>
                </c:pt>
                <c:pt idx="935" formatCode="#,##0">
                  <c:v>1850</c:v>
                </c:pt>
                <c:pt idx="936" formatCode="#,##0">
                  <c:v>1850</c:v>
                </c:pt>
                <c:pt idx="937" formatCode="#,##0">
                  <c:v>1850</c:v>
                </c:pt>
                <c:pt idx="938" formatCode="#,##0">
                  <c:v>1850</c:v>
                </c:pt>
                <c:pt idx="939" formatCode="#,##0">
                  <c:v>1850</c:v>
                </c:pt>
                <c:pt idx="940" formatCode="#,##0">
                  <c:v>1850</c:v>
                </c:pt>
                <c:pt idx="941" formatCode="#,##0">
                  <c:v>1850</c:v>
                </c:pt>
                <c:pt idx="942" formatCode="#,##0">
                  <c:v>1850</c:v>
                </c:pt>
                <c:pt idx="943" formatCode="#,##0">
                  <c:v>1850</c:v>
                </c:pt>
                <c:pt idx="944" formatCode="#,##0">
                  <c:v>1850</c:v>
                </c:pt>
                <c:pt idx="945" formatCode="#,##0">
                  <c:v>1850</c:v>
                </c:pt>
                <c:pt idx="946" formatCode="#,##0">
                  <c:v>1850</c:v>
                </c:pt>
                <c:pt idx="947" formatCode="#,##0">
                  <c:v>1850</c:v>
                </c:pt>
                <c:pt idx="948" formatCode="#,##0">
                  <c:v>1850</c:v>
                </c:pt>
                <c:pt idx="949" formatCode="#,##0">
                  <c:v>1850</c:v>
                </c:pt>
                <c:pt idx="950" formatCode="#,##0">
                  <c:v>1850</c:v>
                </c:pt>
                <c:pt idx="951" formatCode="#,##0">
                  <c:v>1850</c:v>
                </c:pt>
                <c:pt idx="952" formatCode="#,##0">
                  <c:v>1850</c:v>
                </c:pt>
                <c:pt idx="953" formatCode="#,##0">
                  <c:v>1850</c:v>
                </c:pt>
                <c:pt idx="954" formatCode="#,##0">
                  <c:v>1850</c:v>
                </c:pt>
                <c:pt idx="955" formatCode="#,##0">
                  <c:v>1850</c:v>
                </c:pt>
                <c:pt idx="956" formatCode="#,##0">
                  <c:v>1850</c:v>
                </c:pt>
                <c:pt idx="957" formatCode="#,##0">
                  <c:v>1850</c:v>
                </c:pt>
                <c:pt idx="958" formatCode="#,##0">
                  <c:v>1850</c:v>
                </c:pt>
                <c:pt idx="959" formatCode="#,##0">
                  <c:v>1850</c:v>
                </c:pt>
                <c:pt idx="960" formatCode="#,##0">
                  <c:v>1850</c:v>
                </c:pt>
                <c:pt idx="961" formatCode="#,##0">
                  <c:v>1850</c:v>
                </c:pt>
                <c:pt idx="962" formatCode="#,##0">
                  <c:v>1850</c:v>
                </c:pt>
                <c:pt idx="963" formatCode="#,##0">
                  <c:v>1850</c:v>
                </c:pt>
                <c:pt idx="964" formatCode="#,##0">
                  <c:v>1850</c:v>
                </c:pt>
                <c:pt idx="965" formatCode="#,##0">
                  <c:v>1850</c:v>
                </c:pt>
                <c:pt idx="966" formatCode="#,##0">
                  <c:v>1850</c:v>
                </c:pt>
                <c:pt idx="967" formatCode="#,##0">
                  <c:v>1850</c:v>
                </c:pt>
                <c:pt idx="968" formatCode="#,##0">
                  <c:v>1850</c:v>
                </c:pt>
                <c:pt idx="969" formatCode="#,##0">
                  <c:v>1850</c:v>
                </c:pt>
                <c:pt idx="970" formatCode="#,##0">
                  <c:v>1850</c:v>
                </c:pt>
                <c:pt idx="971" formatCode="#,##0">
                  <c:v>1850</c:v>
                </c:pt>
                <c:pt idx="972" formatCode="#,##0">
                  <c:v>1850</c:v>
                </c:pt>
                <c:pt idx="973" formatCode="#,##0">
                  <c:v>1850</c:v>
                </c:pt>
                <c:pt idx="974" formatCode="#,##0">
                  <c:v>1850</c:v>
                </c:pt>
                <c:pt idx="975" formatCode="#,##0">
                  <c:v>1850</c:v>
                </c:pt>
                <c:pt idx="976" formatCode="#,##0">
                  <c:v>1850</c:v>
                </c:pt>
                <c:pt idx="977" formatCode="#,##0">
                  <c:v>1850</c:v>
                </c:pt>
                <c:pt idx="978" formatCode="#,##0">
                  <c:v>1850</c:v>
                </c:pt>
                <c:pt idx="979" formatCode="#,##0">
                  <c:v>1850</c:v>
                </c:pt>
                <c:pt idx="980" formatCode="#,##0">
                  <c:v>1850</c:v>
                </c:pt>
                <c:pt idx="981" formatCode="#,##0">
                  <c:v>1850</c:v>
                </c:pt>
                <c:pt idx="982" formatCode="#,##0">
                  <c:v>1850</c:v>
                </c:pt>
                <c:pt idx="983" formatCode="#,##0">
                  <c:v>1850</c:v>
                </c:pt>
                <c:pt idx="984" formatCode="#,##0">
                  <c:v>1850</c:v>
                </c:pt>
                <c:pt idx="985" formatCode="#,##0">
                  <c:v>1850</c:v>
                </c:pt>
                <c:pt idx="986" formatCode="#,##0">
                  <c:v>1850</c:v>
                </c:pt>
                <c:pt idx="987" formatCode="#,##0">
                  <c:v>1850</c:v>
                </c:pt>
                <c:pt idx="988" formatCode="#,##0">
                  <c:v>1850</c:v>
                </c:pt>
                <c:pt idx="989" formatCode="#,##0">
                  <c:v>1850</c:v>
                </c:pt>
                <c:pt idx="990" formatCode="#,##0">
                  <c:v>1850</c:v>
                </c:pt>
                <c:pt idx="991" formatCode="#,##0">
                  <c:v>1850</c:v>
                </c:pt>
                <c:pt idx="992" formatCode="#,##0">
                  <c:v>1850</c:v>
                </c:pt>
                <c:pt idx="993" formatCode="#,##0">
                  <c:v>1850</c:v>
                </c:pt>
                <c:pt idx="994" formatCode="#,##0">
                  <c:v>1850</c:v>
                </c:pt>
                <c:pt idx="995" formatCode="#,##0">
                  <c:v>1850</c:v>
                </c:pt>
                <c:pt idx="996" formatCode="#,##0">
                  <c:v>1850</c:v>
                </c:pt>
                <c:pt idx="997" formatCode="#,##0">
                  <c:v>1850</c:v>
                </c:pt>
                <c:pt idx="998" formatCode="#,##0">
                  <c:v>1850</c:v>
                </c:pt>
                <c:pt idx="999" formatCode="#,##0">
                  <c:v>1850</c:v>
                </c:pt>
                <c:pt idx="1000" formatCode="#,##0">
                  <c:v>1850</c:v>
                </c:pt>
                <c:pt idx="1001" formatCode="#,##0">
                  <c:v>1850</c:v>
                </c:pt>
                <c:pt idx="1002" formatCode="#,##0">
                  <c:v>1850</c:v>
                </c:pt>
                <c:pt idx="1003" formatCode="#,##0">
                  <c:v>1850</c:v>
                </c:pt>
                <c:pt idx="1004" formatCode="#,##0">
                  <c:v>1850</c:v>
                </c:pt>
                <c:pt idx="1005" formatCode="#,##0">
                  <c:v>1850</c:v>
                </c:pt>
                <c:pt idx="1006" formatCode="#,##0">
                  <c:v>1850</c:v>
                </c:pt>
                <c:pt idx="1007" formatCode="#,##0">
                  <c:v>1850</c:v>
                </c:pt>
                <c:pt idx="1008" formatCode="#,##0">
                  <c:v>1850</c:v>
                </c:pt>
                <c:pt idx="1009" formatCode="#,##0">
                  <c:v>1850</c:v>
                </c:pt>
                <c:pt idx="1010" formatCode="#,##0">
                  <c:v>1850</c:v>
                </c:pt>
                <c:pt idx="1011" formatCode="#,##0">
                  <c:v>1850</c:v>
                </c:pt>
                <c:pt idx="1012" formatCode="#,##0">
                  <c:v>1850</c:v>
                </c:pt>
                <c:pt idx="1013" formatCode="#,##0">
                  <c:v>1850</c:v>
                </c:pt>
                <c:pt idx="1014" formatCode="#,##0">
                  <c:v>1850</c:v>
                </c:pt>
                <c:pt idx="1015" formatCode="#,##0">
                  <c:v>1850</c:v>
                </c:pt>
                <c:pt idx="1016" formatCode="#,##0">
                  <c:v>1850</c:v>
                </c:pt>
                <c:pt idx="1017" formatCode="#,##0">
                  <c:v>1850</c:v>
                </c:pt>
                <c:pt idx="1018" formatCode="#,##0">
                  <c:v>1850</c:v>
                </c:pt>
                <c:pt idx="1019" formatCode="#,##0">
                  <c:v>1850</c:v>
                </c:pt>
                <c:pt idx="1020" formatCode="#,##0">
                  <c:v>1850</c:v>
                </c:pt>
                <c:pt idx="1021" formatCode="#,##0">
                  <c:v>1850</c:v>
                </c:pt>
                <c:pt idx="1022" formatCode="#,##0">
                  <c:v>1850</c:v>
                </c:pt>
                <c:pt idx="1023" formatCode="#,##0">
                  <c:v>1850</c:v>
                </c:pt>
                <c:pt idx="1024" formatCode="#,##0">
                  <c:v>1850</c:v>
                </c:pt>
                <c:pt idx="1025" formatCode="#,##0">
                  <c:v>1850</c:v>
                </c:pt>
                <c:pt idx="1026" formatCode="#,##0">
                  <c:v>1850</c:v>
                </c:pt>
                <c:pt idx="1027" formatCode="#,##0">
                  <c:v>1850</c:v>
                </c:pt>
                <c:pt idx="1028" formatCode="#,##0">
                  <c:v>1850</c:v>
                </c:pt>
                <c:pt idx="1029" formatCode="#,##0">
                  <c:v>1850</c:v>
                </c:pt>
                <c:pt idx="1030" formatCode="#,##0">
                  <c:v>1850</c:v>
                </c:pt>
                <c:pt idx="1031" formatCode="#,##0">
                  <c:v>1850</c:v>
                </c:pt>
                <c:pt idx="1032" formatCode="#,##0">
                  <c:v>1850</c:v>
                </c:pt>
                <c:pt idx="1033" formatCode="#,##0">
                  <c:v>1850</c:v>
                </c:pt>
                <c:pt idx="1034" formatCode="#,##0">
                  <c:v>1850</c:v>
                </c:pt>
                <c:pt idx="1035" formatCode="#,##0">
                  <c:v>1850</c:v>
                </c:pt>
                <c:pt idx="1036" formatCode="#,##0">
                  <c:v>1850</c:v>
                </c:pt>
                <c:pt idx="1037" formatCode="#,##0">
                  <c:v>1850</c:v>
                </c:pt>
                <c:pt idx="1038" formatCode="#,##0">
                  <c:v>1850</c:v>
                </c:pt>
                <c:pt idx="1039" formatCode="#,##0">
                  <c:v>1850</c:v>
                </c:pt>
                <c:pt idx="1040" formatCode="#,##0">
                  <c:v>1850</c:v>
                </c:pt>
                <c:pt idx="1041" formatCode="#,##0">
                  <c:v>1850</c:v>
                </c:pt>
                <c:pt idx="1042" formatCode="#,##0">
                  <c:v>1850</c:v>
                </c:pt>
                <c:pt idx="1043" formatCode="#,##0">
                  <c:v>1850</c:v>
                </c:pt>
                <c:pt idx="1044" formatCode="#,##0">
                  <c:v>1850</c:v>
                </c:pt>
                <c:pt idx="1045" formatCode="#,##0">
                  <c:v>2150</c:v>
                </c:pt>
                <c:pt idx="1046" formatCode="#,##0">
                  <c:v>2150</c:v>
                </c:pt>
                <c:pt idx="1047" formatCode="#,##0">
                  <c:v>2150</c:v>
                </c:pt>
                <c:pt idx="1048" formatCode="#,##0">
                  <c:v>2150</c:v>
                </c:pt>
                <c:pt idx="1049" formatCode="#,##0">
                  <c:v>2150</c:v>
                </c:pt>
                <c:pt idx="1050" formatCode="#,##0">
                  <c:v>2150</c:v>
                </c:pt>
                <c:pt idx="1051" formatCode="#,##0">
                  <c:v>2150</c:v>
                </c:pt>
                <c:pt idx="1052" formatCode="#,##0">
                  <c:v>2150</c:v>
                </c:pt>
                <c:pt idx="1053" formatCode="#,##0">
                  <c:v>2150</c:v>
                </c:pt>
                <c:pt idx="1054" formatCode="#,##0">
                  <c:v>2150</c:v>
                </c:pt>
                <c:pt idx="1055" formatCode="#,##0">
                  <c:v>2150</c:v>
                </c:pt>
                <c:pt idx="1056" formatCode="#,##0">
                  <c:v>2150</c:v>
                </c:pt>
                <c:pt idx="1057" formatCode="#,##0">
                  <c:v>2150</c:v>
                </c:pt>
                <c:pt idx="1058" formatCode="#,##0">
                  <c:v>2150</c:v>
                </c:pt>
                <c:pt idx="1059" formatCode="#,##0">
                  <c:v>2150</c:v>
                </c:pt>
                <c:pt idx="1060" formatCode="#,##0">
                  <c:v>2150</c:v>
                </c:pt>
                <c:pt idx="1061" formatCode="#,##0">
                  <c:v>2150</c:v>
                </c:pt>
                <c:pt idx="1062" formatCode="#,##0">
                  <c:v>2150</c:v>
                </c:pt>
                <c:pt idx="1063" formatCode="#,##0">
                  <c:v>2150</c:v>
                </c:pt>
                <c:pt idx="1064" formatCode="#,##0">
                  <c:v>2150</c:v>
                </c:pt>
                <c:pt idx="1065" formatCode="#,##0">
                  <c:v>2150</c:v>
                </c:pt>
                <c:pt idx="1066" formatCode="#,##0">
                  <c:v>2150</c:v>
                </c:pt>
                <c:pt idx="1067" formatCode="#,##0">
                  <c:v>2150</c:v>
                </c:pt>
                <c:pt idx="1068" formatCode="#,##0">
                  <c:v>2150</c:v>
                </c:pt>
                <c:pt idx="1069" formatCode="#,##0">
                  <c:v>2150</c:v>
                </c:pt>
                <c:pt idx="1070" formatCode="#,##0">
                  <c:v>2150</c:v>
                </c:pt>
                <c:pt idx="1071" formatCode="#,##0">
                  <c:v>2150</c:v>
                </c:pt>
                <c:pt idx="1072" formatCode="#,##0">
                  <c:v>2150</c:v>
                </c:pt>
                <c:pt idx="1073" formatCode="#,##0">
                  <c:v>2150</c:v>
                </c:pt>
                <c:pt idx="1074" formatCode="#,##0">
                  <c:v>2150</c:v>
                </c:pt>
                <c:pt idx="1075" formatCode="#,##0">
                  <c:v>2150</c:v>
                </c:pt>
                <c:pt idx="1076" formatCode="#,##0">
                  <c:v>2150</c:v>
                </c:pt>
                <c:pt idx="1077" formatCode="#,##0">
                  <c:v>2150</c:v>
                </c:pt>
                <c:pt idx="1078" formatCode="#,##0">
                  <c:v>2150</c:v>
                </c:pt>
                <c:pt idx="1079" formatCode="#,##0">
                  <c:v>2150</c:v>
                </c:pt>
                <c:pt idx="1080" formatCode="#,##0">
                  <c:v>2150</c:v>
                </c:pt>
                <c:pt idx="1081" formatCode="#,##0">
                  <c:v>2150</c:v>
                </c:pt>
                <c:pt idx="1082" formatCode="#,##0">
                  <c:v>2150</c:v>
                </c:pt>
                <c:pt idx="1083" formatCode="#,##0">
                  <c:v>2150</c:v>
                </c:pt>
                <c:pt idx="1084" formatCode="#,##0">
                  <c:v>2150</c:v>
                </c:pt>
                <c:pt idx="1085" formatCode="#,##0">
                  <c:v>2150</c:v>
                </c:pt>
                <c:pt idx="1086" formatCode="#,##0">
                  <c:v>2150</c:v>
                </c:pt>
                <c:pt idx="1087" formatCode="#,##0">
                  <c:v>2150</c:v>
                </c:pt>
                <c:pt idx="1088" formatCode="#,##0">
                  <c:v>2150</c:v>
                </c:pt>
                <c:pt idx="1089" formatCode="#,##0">
                  <c:v>2150</c:v>
                </c:pt>
                <c:pt idx="1090" formatCode="#,##0">
                  <c:v>2150</c:v>
                </c:pt>
                <c:pt idx="1091" formatCode="#,##0">
                  <c:v>2150</c:v>
                </c:pt>
                <c:pt idx="1092" formatCode="#,##0">
                  <c:v>2150</c:v>
                </c:pt>
                <c:pt idx="1093" formatCode="#,##0">
                  <c:v>2150</c:v>
                </c:pt>
                <c:pt idx="1094" formatCode="#,##0">
                  <c:v>2150</c:v>
                </c:pt>
                <c:pt idx="1095" formatCode="#,##0">
                  <c:v>2150</c:v>
                </c:pt>
                <c:pt idx="1096" formatCode="#,##0">
                  <c:v>2150</c:v>
                </c:pt>
                <c:pt idx="1097" formatCode="#,##0">
                  <c:v>2150</c:v>
                </c:pt>
                <c:pt idx="1098" formatCode="#,##0">
                  <c:v>2150</c:v>
                </c:pt>
                <c:pt idx="1099" formatCode="#,##0">
                  <c:v>2150</c:v>
                </c:pt>
                <c:pt idx="1100" formatCode="#,##0">
                  <c:v>2150</c:v>
                </c:pt>
                <c:pt idx="1101" formatCode="#,##0">
                  <c:v>2150</c:v>
                </c:pt>
                <c:pt idx="1102" formatCode="#,##0">
                  <c:v>2150</c:v>
                </c:pt>
                <c:pt idx="1103" formatCode="#,##0">
                  <c:v>2150</c:v>
                </c:pt>
                <c:pt idx="1104" formatCode="#,##0">
                  <c:v>2150</c:v>
                </c:pt>
                <c:pt idx="1105" formatCode="#,##0">
                  <c:v>2150</c:v>
                </c:pt>
                <c:pt idx="1106" formatCode="#,##0">
                  <c:v>2150</c:v>
                </c:pt>
                <c:pt idx="1107" formatCode="#,##0">
                  <c:v>2150</c:v>
                </c:pt>
                <c:pt idx="1108" formatCode="#,##0">
                  <c:v>2150</c:v>
                </c:pt>
                <c:pt idx="1109" formatCode="#,##0">
                  <c:v>2150</c:v>
                </c:pt>
                <c:pt idx="1110" formatCode="#,##0">
                  <c:v>2150</c:v>
                </c:pt>
                <c:pt idx="1111" formatCode="#,##0">
                  <c:v>2150</c:v>
                </c:pt>
                <c:pt idx="1112" formatCode="#,##0">
                  <c:v>2150</c:v>
                </c:pt>
                <c:pt idx="1113" formatCode="#,##0">
                  <c:v>2150</c:v>
                </c:pt>
                <c:pt idx="1114" formatCode="#,##0">
                  <c:v>2150</c:v>
                </c:pt>
                <c:pt idx="1115" formatCode="#,##0">
                  <c:v>2150</c:v>
                </c:pt>
                <c:pt idx="1116" formatCode="#,##0">
                  <c:v>2150</c:v>
                </c:pt>
                <c:pt idx="1117" formatCode="#,##0">
                  <c:v>2150</c:v>
                </c:pt>
                <c:pt idx="1118" formatCode="#,##0">
                  <c:v>2150</c:v>
                </c:pt>
                <c:pt idx="1119" formatCode="#,##0">
                  <c:v>2150</c:v>
                </c:pt>
                <c:pt idx="1120" formatCode="#,##0">
                  <c:v>2150</c:v>
                </c:pt>
                <c:pt idx="1121" formatCode="#,##0">
                  <c:v>2150</c:v>
                </c:pt>
                <c:pt idx="1122" formatCode="#,##0">
                  <c:v>2150</c:v>
                </c:pt>
                <c:pt idx="1123" formatCode="#,##0">
                  <c:v>2150</c:v>
                </c:pt>
                <c:pt idx="1124" formatCode="#,##0">
                  <c:v>2150</c:v>
                </c:pt>
                <c:pt idx="1125" formatCode="#,##0">
                  <c:v>2150</c:v>
                </c:pt>
                <c:pt idx="1126" formatCode="#,##0">
                  <c:v>2150</c:v>
                </c:pt>
                <c:pt idx="1127" formatCode="#,##0">
                  <c:v>2150</c:v>
                </c:pt>
                <c:pt idx="1128" formatCode="#,##0">
                  <c:v>2150</c:v>
                </c:pt>
                <c:pt idx="1129" formatCode="#,##0">
                  <c:v>2150</c:v>
                </c:pt>
                <c:pt idx="1130" formatCode="#,##0">
                  <c:v>2150</c:v>
                </c:pt>
                <c:pt idx="1131" formatCode="#,##0">
                  <c:v>2150</c:v>
                </c:pt>
                <c:pt idx="1132" formatCode="#,##0">
                  <c:v>2150</c:v>
                </c:pt>
                <c:pt idx="1133" formatCode="#,##0">
                  <c:v>2150</c:v>
                </c:pt>
                <c:pt idx="1134" formatCode="#,##0">
                  <c:v>2150</c:v>
                </c:pt>
                <c:pt idx="1135" formatCode="#,##0">
                  <c:v>2150</c:v>
                </c:pt>
                <c:pt idx="1136" formatCode="#,##0">
                  <c:v>2150</c:v>
                </c:pt>
                <c:pt idx="1137" formatCode="#,##0">
                  <c:v>2150</c:v>
                </c:pt>
                <c:pt idx="1138" formatCode="#,##0">
                  <c:v>2150</c:v>
                </c:pt>
                <c:pt idx="1139" formatCode="#,##0">
                  <c:v>2150</c:v>
                </c:pt>
                <c:pt idx="1140" formatCode="#,##0">
                  <c:v>2150</c:v>
                </c:pt>
                <c:pt idx="1141" formatCode="#,##0">
                  <c:v>2150</c:v>
                </c:pt>
                <c:pt idx="1142" formatCode="#,##0">
                  <c:v>2150</c:v>
                </c:pt>
                <c:pt idx="1143" formatCode="#,##0">
                  <c:v>2150</c:v>
                </c:pt>
                <c:pt idx="1144" formatCode="#,##0">
                  <c:v>2150</c:v>
                </c:pt>
                <c:pt idx="1145" formatCode="#,##0">
                  <c:v>2150</c:v>
                </c:pt>
                <c:pt idx="1146" formatCode="#,##0">
                  <c:v>2150</c:v>
                </c:pt>
                <c:pt idx="1147" formatCode="#,##0">
                  <c:v>2150</c:v>
                </c:pt>
                <c:pt idx="1148" formatCode="#,##0">
                  <c:v>2150</c:v>
                </c:pt>
                <c:pt idx="1149" formatCode="#,##0">
                  <c:v>2150</c:v>
                </c:pt>
                <c:pt idx="1150" formatCode="#,##0">
                  <c:v>2150</c:v>
                </c:pt>
                <c:pt idx="1151" formatCode="#,##0">
                  <c:v>2150</c:v>
                </c:pt>
                <c:pt idx="1152" formatCode="#,##0">
                  <c:v>2150</c:v>
                </c:pt>
                <c:pt idx="1153" formatCode="#,##0">
                  <c:v>2150</c:v>
                </c:pt>
                <c:pt idx="1154" formatCode="#,##0">
                  <c:v>2150</c:v>
                </c:pt>
                <c:pt idx="1155" formatCode="#,##0">
                  <c:v>2150</c:v>
                </c:pt>
                <c:pt idx="1156" formatCode="#,##0">
                  <c:v>2150</c:v>
                </c:pt>
                <c:pt idx="1157" formatCode="#,##0">
                  <c:v>2150</c:v>
                </c:pt>
                <c:pt idx="1158" formatCode="#,##0">
                  <c:v>2150</c:v>
                </c:pt>
                <c:pt idx="1159" formatCode="#,##0">
                  <c:v>2150</c:v>
                </c:pt>
                <c:pt idx="1160" formatCode="#,##0">
                  <c:v>2150</c:v>
                </c:pt>
                <c:pt idx="1161" formatCode="#,##0">
                  <c:v>2150</c:v>
                </c:pt>
                <c:pt idx="1162" formatCode="#,##0">
                  <c:v>2150</c:v>
                </c:pt>
                <c:pt idx="1163" formatCode="#,##0">
                  <c:v>2150</c:v>
                </c:pt>
                <c:pt idx="1164" formatCode="#,##0">
                  <c:v>2150</c:v>
                </c:pt>
                <c:pt idx="1165" formatCode="#,##0">
                  <c:v>2150</c:v>
                </c:pt>
                <c:pt idx="1166" formatCode="#,##0">
                  <c:v>2150</c:v>
                </c:pt>
                <c:pt idx="1167" formatCode="#,##0">
                  <c:v>2150</c:v>
                </c:pt>
                <c:pt idx="1168" formatCode="#,##0">
                  <c:v>2150</c:v>
                </c:pt>
                <c:pt idx="1169" formatCode="#,##0">
                  <c:v>2150</c:v>
                </c:pt>
                <c:pt idx="1170" formatCode="#,##0">
                  <c:v>2150</c:v>
                </c:pt>
                <c:pt idx="1171" formatCode="#,##0">
                  <c:v>2150</c:v>
                </c:pt>
                <c:pt idx="1172" formatCode="#,##0">
                  <c:v>2150</c:v>
                </c:pt>
                <c:pt idx="1173" formatCode="#,##0">
                  <c:v>2150</c:v>
                </c:pt>
                <c:pt idx="1174" formatCode="#,##0">
                  <c:v>2150</c:v>
                </c:pt>
                <c:pt idx="1175" formatCode="#,##0">
                  <c:v>2150</c:v>
                </c:pt>
                <c:pt idx="1176" formatCode="#,##0">
                  <c:v>2150</c:v>
                </c:pt>
                <c:pt idx="1177" formatCode="#,##0">
                  <c:v>2150</c:v>
                </c:pt>
                <c:pt idx="1178" formatCode="#,##0">
                  <c:v>2150</c:v>
                </c:pt>
                <c:pt idx="1179" formatCode="#,##0">
                  <c:v>2150</c:v>
                </c:pt>
                <c:pt idx="1180" formatCode="#,##0">
                  <c:v>2150</c:v>
                </c:pt>
                <c:pt idx="1181" formatCode="#,##0">
                  <c:v>2150</c:v>
                </c:pt>
                <c:pt idx="1182" formatCode="#,##0">
                  <c:v>2150</c:v>
                </c:pt>
                <c:pt idx="1183" formatCode="#,##0">
                  <c:v>2150</c:v>
                </c:pt>
                <c:pt idx="1184" formatCode="#,##0">
                  <c:v>2150</c:v>
                </c:pt>
                <c:pt idx="1185" formatCode="#,##0">
                  <c:v>2150</c:v>
                </c:pt>
                <c:pt idx="1186" formatCode="#,##0">
                  <c:v>2150</c:v>
                </c:pt>
                <c:pt idx="1187" formatCode="#,##0">
                  <c:v>2150</c:v>
                </c:pt>
                <c:pt idx="1188" formatCode="#,##0">
                  <c:v>2150</c:v>
                </c:pt>
                <c:pt idx="1189" formatCode="#,##0">
                  <c:v>2150</c:v>
                </c:pt>
                <c:pt idx="1190" formatCode="#,##0">
                  <c:v>2150</c:v>
                </c:pt>
                <c:pt idx="1191" formatCode="#,##0">
                  <c:v>2150</c:v>
                </c:pt>
                <c:pt idx="1192" formatCode="#,##0">
                  <c:v>2150</c:v>
                </c:pt>
                <c:pt idx="1193" formatCode="#,##0">
                  <c:v>2150</c:v>
                </c:pt>
                <c:pt idx="1194" formatCode="#,##0">
                  <c:v>2150</c:v>
                </c:pt>
                <c:pt idx="1195" formatCode="#,##0">
                  <c:v>2150</c:v>
                </c:pt>
                <c:pt idx="1196" formatCode="#,##0">
                  <c:v>2150</c:v>
                </c:pt>
                <c:pt idx="1197" formatCode="#,##0">
                  <c:v>2150</c:v>
                </c:pt>
                <c:pt idx="1198" formatCode="#,##0">
                  <c:v>2150</c:v>
                </c:pt>
                <c:pt idx="1199" formatCode="#,##0">
                  <c:v>2150</c:v>
                </c:pt>
                <c:pt idx="1200" formatCode="#,##0">
                  <c:v>2150</c:v>
                </c:pt>
                <c:pt idx="1201" formatCode="#,##0">
                  <c:v>2150</c:v>
                </c:pt>
                <c:pt idx="1202" formatCode="#,##0">
                  <c:v>2150</c:v>
                </c:pt>
                <c:pt idx="1203" formatCode="#,##0">
                  <c:v>2150</c:v>
                </c:pt>
                <c:pt idx="1204" formatCode="#,##0">
                  <c:v>2150</c:v>
                </c:pt>
                <c:pt idx="1205" formatCode="#,##0">
                  <c:v>2150</c:v>
                </c:pt>
                <c:pt idx="1206" formatCode="#,##0">
                  <c:v>2150</c:v>
                </c:pt>
                <c:pt idx="1207" formatCode="#,##0">
                  <c:v>2150</c:v>
                </c:pt>
                <c:pt idx="1208" formatCode="#,##0">
                  <c:v>2150</c:v>
                </c:pt>
                <c:pt idx="1209" formatCode="#,##0">
                  <c:v>2150</c:v>
                </c:pt>
                <c:pt idx="1210" formatCode="#,##0">
                  <c:v>2150</c:v>
                </c:pt>
                <c:pt idx="1211" formatCode="#,##0">
                  <c:v>2150</c:v>
                </c:pt>
                <c:pt idx="1212" formatCode="#,##0">
                  <c:v>2450</c:v>
                </c:pt>
                <c:pt idx="1213" formatCode="#,##0">
                  <c:v>2450</c:v>
                </c:pt>
                <c:pt idx="1214" formatCode="#,##0">
                  <c:v>2450</c:v>
                </c:pt>
                <c:pt idx="1215" formatCode="#,##0">
                  <c:v>2450</c:v>
                </c:pt>
                <c:pt idx="1216" formatCode="#,##0">
                  <c:v>2450</c:v>
                </c:pt>
                <c:pt idx="1217" formatCode="#,##0">
                  <c:v>2450</c:v>
                </c:pt>
                <c:pt idx="1218" formatCode="#,##0">
                  <c:v>2450</c:v>
                </c:pt>
                <c:pt idx="1219" formatCode="#,##0">
                  <c:v>2450</c:v>
                </c:pt>
                <c:pt idx="1220" formatCode="#,##0">
                  <c:v>2450</c:v>
                </c:pt>
                <c:pt idx="1221" formatCode="#,##0">
                  <c:v>2450</c:v>
                </c:pt>
                <c:pt idx="1222" formatCode="#,##0">
                  <c:v>2450</c:v>
                </c:pt>
                <c:pt idx="1223" formatCode="#,##0">
                  <c:v>2450</c:v>
                </c:pt>
                <c:pt idx="1224" formatCode="#,##0">
                  <c:v>2450</c:v>
                </c:pt>
                <c:pt idx="1225" formatCode="#,##0">
                  <c:v>2450</c:v>
                </c:pt>
                <c:pt idx="1226" formatCode="#,##0">
                  <c:v>2450</c:v>
                </c:pt>
                <c:pt idx="1227" formatCode="#,##0">
                  <c:v>2450</c:v>
                </c:pt>
                <c:pt idx="1228" formatCode="#,##0">
                  <c:v>2450</c:v>
                </c:pt>
                <c:pt idx="1229" formatCode="#,##0">
                  <c:v>2450</c:v>
                </c:pt>
                <c:pt idx="1230" formatCode="#,##0">
                  <c:v>2450</c:v>
                </c:pt>
                <c:pt idx="1231" formatCode="#,##0">
                  <c:v>2450</c:v>
                </c:pt>
                <c:pt idx="1232" formatCode="#,##0">
                  <c:v>2450</c:v>
                </c:pt>
                <c:pt idx="1233" formatCode="#,##0">
                  <c:v>2450</c:v>
                </c:pt>
                <c:pt idx="1234" formatCode="#,##0">
                  <c:v>2450</c:v>
                </c:pt>
                <c:pt idx="1235" formatCode="#,##0">
                  <c:v>2450</c:v>
                </c:pt>
                <c:pt idx="1236" formatCode="#,##0">
                  <c:v>2450</c:v>
                </c:pt>
                <c:pt idx="1237" formatCode="#,##0">
                  <c:v>2450</c:v>
                </c:pt>
                <c:pt idx="1238" formatCode="#,##0">
                  <c:v>2450</c:v>
                </c:pt>
                <c:pt idx="1239" formatCode="#,##0">
                  <c:v>2450</c:v>
                </c:pt>
                <c:pt idx="1240" formatCode="#,##0">
                  <c:v>2450</c:v>
                </c:pt>
                <c:pt idx="1241" formatCode="#,##0">
                  <c:v>2450</c:v>
                </c:pt>
                <c:pt idx="1242" formatCode="#,##0">
                  <c:v>2450</c:v>
                </c:pt>
                <c:pt idx="1243" formatCode="#,##0">
                  <c:v>2450</c:v>
                </c:pt>
                <c:pt idx="1244" formatCode="#,##0">
                  <c:v>2450</c:v>
                </c:pt>
                <c:pt idx="1245" formatCode="#,##0">
                  <c:v>2450</c:v>
                </c:pt>
                <c:pt idx="1246" formatCode="#,##0">
                  <c:v>2450</c:v>
                </c:pt>
                <c:pt idx="1247" formatCode="#,##0">
                  <c:v>2450</c:v>
                </c:pt>
                <c:pt idx="1248" formatCode="#,##0">
                  <c:v>2450</c:v>
                </c:pt>
                <c:pt idx="1249" formatCode="#,##0">
                  <c:v>2450</c:v>
                </c:pt>
                <c:pt idx="1250" formatCode="#,##0">
                  <c:v>2450</c:v>
                </c:pt>
                <c:pt idx="1251" formatCode="#,##0">
                  <c:v>2450</c:v>
                </c:pt>
                <c:pt idx="1252" formatCode="#,##0">
                  <c:v>2450</c:v>
                </c:pt>
                <c:pt idx="1253" formatCode="#,##0">
                  <c:v>2450</c:v>
                </c:pt>
                <c:pt idx="1254" formatCode="#,##0">
                  <c:v>2450</c:v>
                </c:pt>
                <c:pt idx="1255" formatCode="#,##0">
                  <c:v>2450</c:v>
                </c:pt>
                <c:pt idx="1256" formatCode="#,##0">
                  <c:v>2450</c:v>
                </c:pt>
                <c:pt idx="1257" formatCode="#,##0">
                  <c:v>2450</c:v>
                </c:pt>
                <c:pt idx="1258" formatCode="#,##0">
                  <c:v>2450</c:v>
                </c:pt>
                <c:pt idx="1259" formatCode="#,##0">
                  <c:v>2450</c:v>
                </c:pt>
                <c:pt idx="1260" formatCode="#,##0">
                  <c:v>2450</c:v>
                </c:pt>
                <c:pt idx="1261" formatCode="#,##0">
                  <c:v>2450</c:v>
                </c:pt>
                <c:pt idx="1262" formatCode="#,##0">
                  <c:v>2450</c:v>
                </c:pt>
                <c:pt idx="1263" formatCode="#,##0">
                  <c:v>2450</c:v>
                </c:pt>
                <c:pt idx="1264" formatCode="#,##0">
                  <c:v>2450</c:v>
                </c:pt>
                <c:pt idx="1265" formatCode="#,##0">
                  <c:v>2450</c:v>
                </c:pt>
                <c:pt idx="1266" formatCode="#,##0">
                  <c:v>2450</c:v>
                </c:pt>
                <c:pt idx="1267" formatCode="#,##0">
                  <c:v>2450</c:v>
                </c:pt>
                <c:pt idx="1268" formatCode="#,##0">
                  <c:v>2450</c:v>
                </c:pt>
                <c:pt idx="1269" formatCode="#,##0">
                  <c:v>2450</c:v>
                </c:pt>
                <c:pt idx="1270" formatCode="#,##0">
                  <c:v>2450</c:v>
                </c:pt>
                <c:pt idx="1271" formatCode="#,##0">
                  <c:v>2450</c:v>
                </c:pt>
                <c:pt idx="1272" formatCode="#,##0">
                  <c:v>2450</c:v>
                </c:pt>
                <c:pt idx="1273" formatCode="#,##0">
                  <c:v>2450</c:v>
                </c:pt>
                <c:pt idx="1274" formatCode="#,##0">
                  <c:v>2450</c:v>
                </c:pt>
                <c:pt idx="1275" formatCode="#,##0">
                  <c:v>2450</c:v>
                </c:pt>
                <c:pt idx="1276" formatCode="#,##0">
                  <c:v>2450</c:v>
                </c:pt>
                <c:pt idx="1277" formatCode="#,##0">
                  <c:v>2450</c:v>
                </c:pt>
                <c:pt idx="1278" formatCode="#,##0">
                  <c:v>2450</c:v>
                </c:pt>
                <c:pt idx="1279" formatCode="#,##0">
                  <c:v>2450</c:v>
                </c:pt>
                <c:pt idx="1280" formatCode="#,##0">
                  <c:v>2450</c:v>
                </c:pt>
                <c:pt idx="1281" formatCode="#,##0">
                  <c:v>2450</c:v>
                </c:pt>
                <c:pt idx="1282" formatCode="#,##0">
                  <c:v>2450</c:v>
                </c:pt>
                <c:pt idx="1283" formatCode="#,##0">
                  <c:v>2450</c:v>
                </c:pt>
                <c:pt idx="1284" formatCode="#,##0">
                  <c:v>2450</c:v>
                </c:pt>
                <c:pt idx="1285" formatCode="#,##0">
                  <c:v>2450</c:v>
                </c:pt>
                <c:pt idx="1286" formatCode="#,##0">
                  <c:v>2450</c:v>
                </c:pt>
                <c:pt idx="1287" formatCode="#,##0">
                  <c:v>2450</c:v>
                </c:pt>
                <c:pt idx="1288" formatCode="#,##0">
                  <c:v>2450</c:v>
                </c:pt>
                <c:pt idx="1289" formatCode="#,##0">
                  <c:v>2450</c:v>
                </c:pt>
                <c:pt idx="1290" formatCode="#,##0">
                  <c:v>2450</c:v>
                </c:pt>
                <c:pt idx="1291" formatCode="#,##0">
                  <c:v>2450</c:v>
                </c:pt>
                <c:pt idx="1292" formatCode="#,##0">
                  <c:v>2450</c:v>
                </c:pt>
                <c:pt idx="1293" formatCode="#,##0">
                  <c:v>2450</c:v>
                </c:pt>
                <c:pt idx="1294" formatCode="#,##0">
                  <c:v>2450</c:v>
                </c:pt>
                <c:pt idx="1295" formatCode="#,##0">
                  <c:v>2450</c:v>
                </c:pt>
                <c:pt idx="1296" formatCode="#,##0">
                  <c:v>2450</c:v>
                </c:pt>
                <c:pt idx="1297" formatCode="#,##0">
                  <c:v>2450</c:v>
                </c:pt>
                <c:pt idx="1298" formatCode="#,##0">
                  <c:v>2450</c:v>
                </c:pt>
                <c:pt idx="1299" formatCode="#,##0">
                  <c:v>2450</c:v>
                </c:pt>
                <c:pt idx="1300" formatCode="#,##0">
                  <c:v>2450</c:v>
                </c:pt>
                <c:pt idx="1301" formatCode="#,##0">
                  <c:v>2450</c:v>
                </c:pt>
                <c:pt idx="1302" formatCode="#,##0">
                  <c:v>2450</c:v>
                </c:pt>
                <c:pt idx="1303" formatCode="#,##0">
                  <c:v>2450</c:v>
                </c:pt>
                <c:pt idx="1304" formatCode="#,##0">
                  <c:v>2450</c:v>
                </c:pt>
                <c:pt idx="1305" formatCode="#,##0">
                  <c:v>2450</c:v>
                </c:pt>
                <c:pt idx="1306" formatCode="#,##0">
                  <c:v>2450</c:v>
                </c:pt>
                <c:pt idx="1307" formatCode="#,##0">
                  <c:v>2450</c:v>
                </c:pt>
                <c:pt idx="1308" formatCode="#,##0">
                  <c:v>2450</c:v>
                </c:pt>
                <c:pt idx="1309" formatCode="#,##0">
                  <c:v>2450</c:v>
                </c:pt>
                <c:pt idx="1310" formatCode="#,##0">
                  <c:v>2450</c:v>
                </c:pt>
                <c:pt idx="1311" formatCode="#,##0">
                  <c:v>2450</c:v>
                </c:pt>
                <c:pt idx="1312" formatCode="#,##0">
                  <c:v>2450</c:v>
                </c:pt>
                <c:pt idx="1313" formatCode="#,##0">
                  <c:v>2450</c:v>
                </c:pt>
                <c:pt idx="1314" formatCode="#,##0">
                  <c:v>2450</c:v>
                </c:pt>
                <c:pt idx="1315" formatCode="#,##0">
                  <c:v>2450</c:v>
                </c:pt>
                <c:pt idx="1316" formatCode="#,##0">
                  <c:v>2450</c:v>
                </c:pt>
                <c:pt idx="1317" formatCode="#,##0">
                  <c:v>2450</c:v>
                </c:pt>
                <c:pt idx="1318" formatCode="#,##0">
                  <c:v>2450</c:v>
                </c:pt>
                <c:pt idx="1319" formatCode="#,##0">
                  <c:v>2450</c:v>
                </c:pt>
                <c:pt idx="1320" formatCode="#,##0">
                  <c:v>2450</c:v>
                </c:pt>
                <c:pt idx="1321" formatCode="#,##0">
                  <c:v>2450</c:v>
                </c:pt>
                <c:pt idx="1322" formatCode="#,##0">
                  <c:v>2450</c:v>
                </c:pt>
                <c:pt idx="1323" formatCode="#,##0">
                  <c:v>2450</c:v>
                </c:pt>
                <c:pt idx="1324" formatCode="#,##0">
                  <c:v>2450</c:v>
                </c:pt>
                <c:pt idx="1325" formatCode="#,##0">
                  <c:v>2450</c:v>
                </c:pt>
                <c:pt idx="1326" formatCode="#,##0">
                  <c:v>2450</c:v>
                </c:pt>
                <c:pt idx="1327" formatCode="#,##0">
                  <c:v>2450</c:v>
                </c:pt>
                <c:pt idx="1328" formatCode="#,##0">
                  <c:v>2450</c:v>
                </c:pt>
                <c:pt idx="1329" formatCode="#,##0">
                  <c:v>2450</c:v>
                </c:pt>
                <c:pt idx="1330" formatCode="#,##0">
                  <c:v>2450</c:v>
                </c:pt>
                <c:pt idx="1331" formatCode="#,##0">
                  <c:v>2450</c:v>
                </c:pt>
                <c:pt idx="1332" formatCode="#,##0">
                  <c:v>2450</c:v>
                </c:pt>
                <c:pt idx="1333" formatCode="#,##0">
                  <c:v>2450</c:v>
                </c:pt>
                <c:pt idx="1334" formatCode="#,##0">
                  <c:v>2450</c:v>
                </c:pt>
                <c:pt idx="1335" formatCode="#,##0">
                  <c:v>2450</c:v>
                </c:pt>
                <c:pt idx="1336" formatCode="#,##0">
                  <c:v>2450</c:v>
                </c:pt>
                <c:pt idx="1337" formatCode="#,##0">
                  <c:v>2450</c:v>
                </c:pt>
                <c:pt idx="1338" formatCode="#,##0">
                  <c:v>2450</c:v>
                </c:pt>
                <c:pt idx="1339" formatCode="#,##0">
                  <c:v>2450</c:v>
                </c:pt>
                <c:pt idx="1340" formatCode="#,##0">
                  <c:v>2450</c:v>
                </c:pt>
                <c:pt idx="1341" formatCode="#,##0">
                  <c:v>2450</c:v>
                </c:pt>
                <c:pt idx="1342" formatCode="#,##0">
                  <c:v>2450</c:v>
                </c:pt>
                <c:pt idx="1343" formatCode="#,##0">
                  <c:v>2450</c:v>
                </c:pt>
                <c:pt idx="1344" formatCode="#,##0">
                  <c:v>2450</c:v>
                </c:pt>
                <c:pt idx="1345" formatCode="#,##0">
                  <c:v>2450</c:v>
                </c:pt>
                <c:pt idx="1346" formatCode="#,##0">
                  <c:v>2450</c:v>
                </c:pt>
                <c:pt idx="1347" formatCode="#,##0">
                  <c:v>2450</c:v>
                </c:pt>
                <c:pt idx="1348" formatCode="#,##0">
                  <c:v>2450</c:v>
                </c:pt>
                <c:pt idx="1349" formatCode="#,##0">
                  <c:v>2450</c:v>
                </c:pt>
                <c:pt idx="1350" formatCode="#,##0">
                  <c:v>2450</c:v>
                </c:pt>
                <c:pt idx="1351" formatCode="#,##0">
                  <c:v>2450</c:v>
                </c:pt>
                <c:pt idx="1352" formatCode="#,##0">
                  <c:v>2450</c:v>
                </c:pt>
                <c:pt idx="1353" formatCode="#,##0">
                  <c:v>2450</c:v>
                </c:pt>
                <c:pt idx="1354" formatCode="#,##0">
                  <c:v>2450</c:v>
                </c:pt>
                <c:pt idx="1355" formatCode="#,##0">
                  <c:v>2450</c:v>
                </c:pt>
                <c:pt idx="1356" formatCode="#,##0">
                  <c:v>2450</c:v>
                </c:pt>
                <c:pt idx="1357" formatCode="#,##0">
                  <c:v>2450</c:v>
                </c:pt>
                <c:pt idx="1358" formatCode="#,##0">
                  <c:v>2450</c:v>
                </c:pt>
                <c:pt idx="1359" formatCode="#,##0">
                  <c:v>2450</c:v>
                </c:pt>
                <c:pt idx="1360" formatCode="#,##0">
                  <c:v>2450</c:v>
                </c:pt>
                <c:pt idx="1361" formatCode="#,##0">
                  <c:v>2450</c:v>
                </c:pt>
                <c:pt idx="1362" formatCode="#,##0">
                  <c:v>2450</c:v>
                </c:pt>
                <c:pt idx="1363" formatCode="#,##0">
                  <c:v>2450</c:v>
                </c:pt>
                <c:pt idx="1364" formatCode="#,##0">
                  <c:v>2450</c:v>
                </c:pt>
                <c:pt idx="1365" formatCode="#,##0">
                  <c:v>2450</c:v>
                </c:pt>
                <c:pt idx="1366" formatCode="#,##0">
                  <c:v>2450</c:v>
                </c:pt>
                <c:pt idx="1367" formatCode="#,##0">
                  <c:v>2450</c:v>
                </c:pt>
                <c:pt idx="1368" formatCode="#,##0">
                  <c:v>2450</c:v>
                </c:pt>
                <c:pt idx="1369" formatCode="#,##0">
                  <c:v>2450</c:v>
                </c:pt>
                <c:pt idx="1370" formatCode="#,##0">
                  <c:v>2450</c:v>
                </c:pt>
                <c:pt idx="1371" formatCode="#,##0">
                  <c:v>2450</c:v>
                </c:pt>
                <c:pt idx="1372" formatCode="#,##0">
                  <c:v>2450</c:v>
                </c:pt>
                <c:pt idx="1373" formatCode="#,##0">
                  <c:v>2450</c:v>
                </c:pt>
                <c:pt idx="1374" formatCode="#,##0">
                  <c:v>2450</c:v>
                </c:pt>
                <c:pt idx="1375" formatCode="#,##0">
                  <c:v>2450</c:v>
                </c:pt>
                <c:pt idx="1376" formatCode="#,##0">
                  <c:v>2450</c:v>
                </c:pt>
                <c:pt idx="1377" formatCode="#,##0">
                  <c:v>2450</c:v>
                </c:pt>
                <c:pt idx="1378" formatCode="#,##0">
                  <c:v>2450</c:v>
                </c:pt>
                <c:pt idx="1379" formatCode="#,##0">
                  <c:v>2450</c:v>
                </c:pt>
                <c:pt idx="1380" formatCode="#,##0">
                  <c:v>2450</c:v>
                </c:pt>
                <c:pt idx="1381" formatCode="#,##0">
                  <c:v>2450</c:v>
                </c:pt>
                <c:pt idx="1382" formatCode="#,##0">
                  <c:v>2450</c:v>
                </c:pt>
                <c:pt idx="1383" formatCode="#,##0">
                  <c:v>2750</c:v>
                </c:pt>
                <c:pt idx="1384" formatCode="#,##0">
                  <c:v>2750</c:v>
                </c:pt>
                <c:pt idx="1385" formatCode="#,##0">
                  <c:v>2750</c:v>
                </c:pt>
                <c:pt idx="1386" formatCode="#,##0">
                  <c:v>2750</c:v>
                </c:pt>
                <c:pt idx="1387" formatCode="#,##0">
                  <c:v>2750</c:v>
                </c:pt>
                <c:pt idx="1388" formatCode="#,##0">
                  <c:v>2750</c:v>
                </c:pt>
                <c:pt idx="1389" formatCode="#,##0">
                  <c:v>2750</c:v>
                </c:pt>
                <c:pt idx="1390" formatCode="#,##0">
                  <c:v>2750</c:v>
                </c:pt>
                <c:pt idx="1391" formatCode="#,##0">
                  <c:v>2750</c:v>
                </c:pt>
                <c:pt idx="1392" formatCode="#,##0">
                  <c:v>2750</c:v>
                </c:pt>
                <c:pt idx="1393" formatCode="#,##0">
                  <c:v>2750</c:v>
                </c:pt>
                <c:pt idx="1394" formatCode="#,##0">
                  <c:v>2750</c:v>
                </c:pt>
                <c:pt idx="1395" formatCode="#,##0">
                  <c:v>2750</c:v>
                </c:pt>
                <c:pt idx="1396" formatCode="#,##0">
                  <c:v>2750</c:v>
                </c:pt>
                <c:pt idx="1397" formatCode="#,##0">
                  <c:v>2750</c:v>
                </c:pt>
                <c:pt idx="1398" formatCode="#,##0">
                  <c:v>2750</c:v>
                </c:pt>
                <c:pt idx="1399" formatCode="#,##0">
                  <c:v>2750</c:v>
                </c:pt>
                <c:pt idx="1400" formatCode="#,##0">
                  <c:v>2750</c:v>
                </c:pt>
                <c:pt idx="1401" formatCode="#,##0">
                  <c:v>2750</c:v>
                </c:pt>
                <c:pt idx="1402" formatCode="#,##0">
                  <c:v>2750</c:v>
                </c:pt>
                <c:pt idx="1403" formatCode="#,##0">
                  <c:v>2750</c:v>
                </c:pt>
                <c:pt idx="1404" formatCode="#,##0">
                  <c:v>2750</c:v>
                </c:pt>
                <c:pt idx="1405" formatCode="#,##0">
                  <c:v>2750</c:v>
                </c:pt>
                <c:pt idx="1406" formatCode="#,##0">
                  <c:v>2750</c:v>
                </c:pt>
                <c:pt idx="1407" formatCode="#,##0">
                  <c:v>2750</c:v>
                </c:pt>
                <c:pt idx="1408" formatCode="#,##0">
                  <c:v>2750</c:v>
                </c:pt>
                <c:pt idx="1409" formatCode="#,##0">
                  <c:v>2750</c:v>
                </c:pt>
                <c:pt idx="1410" formatCode="#,##0">
                  <c:v>2750</c:v>
                </c:pt>
                <c:pt idx="1411" formatCode="#,##0">
                  <c:v>2750</c:v>
                </c:pt>
                <c:pt idx="1412" formatCode="#,##0">
                  <c:v>2750</c:v>
                </c:pt>
                <c:pt idx="1413" formatCode="#,##0">
                  <c:v>2750</c:v>
                </c:pt>
                <c:pt idx="1414" formatCode="#,##0">
                  <c:v>2750</c:v>
                </c:pt>
                <c:pt idx="1415" formatCode="#,##0">
                  <c:v>2750</c:v>
                </c:pt>
                <c:pt idx="1416" formatCode="#,##0">
                  <c:v>2750</c:v>
                </c:pt>
                <c:pt idx="1417" formatCode="#,##0">
                  <c:v>2750</c:v>
                </c:pt>
                <c:pt idx="1418" formatCode="#,##0">
                  <c:v>2750</c:v>
                </c:pt>
                <c:pt idx="1419" formatCode="#,##0">
                  <c:v>2750</c:v>
                </c:pt>
                <c:pt idx="1420" formatCode="#,##0">
                  <c:v>2750</c:v>
                </c:pt>
                <c:pt idx="1421" formatCode="#,##0">
                  <c:v>2750</c:v>
                </c:pt>
                <c:pt idx="1422" formatCode="#,##0">
                  <c:v>2750</c:v>
                </c:pt>
                <c:pt idx="1423" formatCode="#,##0">
                  <c:v>2750</c:v>
                </c:pt>
                <c:pt idx="1424" formatCode="#,##0">
                  <c:v>2750</c:v>
                </c:pt>
                <c:pt idx="1425" formatCode="#,##0">
                  <c:v>2750</c:v>
                </c:pt>
                <c:pt idx="1426" formatCode="#,##0">
                  <c:v>2750</c:v>
                </c:pt>
                <c:pt idx="1427" formatCode="#,##0">
                  <c:v>2750</c:v>
                </c:pt>
                <c:pt idx="1428" formatCode="#,##0">
                  <c:v>2750</c:v>
                </c:pt>
                <c:pt idx="1429" formatCode="#,##0">
                  <c:v>2750</c:v>
                </c:pt>
                <c:pt idx="1430" formatCode="#,##0">
                  <c:v>2750</c:v>
                </c:pt>
                <c:pt idx="1431" formatCode="#,##0">
                  <c:v>2750</c:v>
                </c:pt>
                <c:pt idx="1432" formatCode="#,##0">
                  <c:v>2750</c:v>
                </c:pt>
                <c:pt idx="1433" formatCode="#,##0">
                  <c:v>2750</c:v>
                </c:pt>
                <c:pt idx="1434" formatCode="#,##0">
                  <c:v>2750</c:v>
                </c:pt>
                <c:pt idx="1435" formatCode="#,##0">
                  <c:v>2750</c:v>
                </c:pt>
                <c:pt idx="1436" formatCode="#,##0">
                  <c:v>2750</c:v>
                </c:pt>
                <c:pt idx="1437" formatCode="#,##0">
                  <c:v>2750</c:v>
                </c:pt>
                <c:pt idx="1438" formatCode="#,##0">
                  <c:v>2750</c:v>
                </c:pt>
                <c:pt idx="1439" formatCode="#,##0">
                  <c:v>2750</c:v>
                </c:pt>
                <c:pt idx="1440" formatCode="#,##0">
                  <c:v>2750</c:v>
                </c:pt>
                <c:pt idx="1441" formatCode="#,##0">
                  <c:v>2750</c:v>
                </c:pt>
                <c:pt idx="1442" formatCode="#,##0">
                  <c:v>2750</c:v>
                </c:pt>
                <c:pt idx="1443" formatCode="#,##0">
                  <c:v>2750</c:v>
                </c:pt>
                <c:pt idx="1444" formatCode="#,##0">
                  <c:v>2750</c:v>
                </c:pt>
                <c:pt idx="1445" formatCode="#,##0">
                  <c:v>2750</c:v>
                </c:pt>
                <c:pt idx="1446" formatCode="#,##0">
                  <c:v>2750</c:v>
                </c:pt>
                <c:pt idx="1447" formatCode="#,##0">
                  <c:v>2750</c:v>
                </c:pt>
                <c:pt idx="1448" formatCode="#,##0">
                  <c:v>2750</c:v>
                </c:pt>
                <c:pt idx="1449" formatCode="#,##0">
                  <c:v>2750</c:v>
                </c:pt>
                <c:pt idx="1450" formatCode="#,##0">
                  <c:v>2750</c:v>
                </c:pt>
                <c:pt idx="1451" formatCode="#,##0">
                  <c:v>2750</c:v>
                </c:pt>
                <c:pt idx="1452" formatCode="#,##0">
                  <c:v>2750</c:v>
                </c:pt>
                <c:pt idx="1453" formatCode="#,##0">
                  <c:v>2750</c:v>
                </c:pt>
                <c:pt idx="1454" formatCode="#,##0">
                  <c:v>2750</c:v>
                </c:pt>
                <c:pt idx="1455" formatCode="#,##0">
                  <c:v>2750</c:v>
                </c:pt>
                <c:pt idx="1456" formatCode="#,##0">
                  <c:v>2750</c:v>
                </c:pt>
                <c:pt idx="1457" formatCode="#,##0">
                  <c:v>2750</c:v>
                </c:pt>
                <c:pt idx="1458" formatCode="#,##0">
                  <c:v>2750</c:v>
                </c:pt>
                <c:pt idx="1459" formatCode="#,##0">
                  <c:v>2750</c:v>
                </c:pt>
                <c:pt idx="1460" formatCode="#,##0">
                  <c:v>2750</c:v>
                </c:pt>
                <c:pt idx="1461" formatCode="#,##0">
                  <c:v>2750</c:v>
                </c:pt>
                <c:pt idx="1462" formatCode="#,##0">
                  <c:v>2750</c:v>
                </c:pt>
                <c:pt idx="1463" formatCode="#,##0">
                  <c:v>2750</c:v>
                </c:pt>
                <c:pt idx="1464" formatCode="#,##0">
                  <c:v>2750</c:v>
                </c:pt>
                <c:pt idx="1465" formatCode="#,##0">
                  <c:v>2750</c:v>
                </c:pt>
                <c:pt idx="1466" formatCode="#,##0">
                  <c:v>2750</c:v>
                </c:pt>
                <c:pt idx="1467" formatCode="#,##0">
                  <c:v>2750</c:v>
                </c:pt>
                <c:pt idx="1468" formatCode="#,##0">
                  <c:v>2750</c:v>
                </c:pt>
                <c:pt idx="1469" formatCode="#,##0">
                  <c:v>2750</c:v>
                </c:pt>
                <c:pt idx="1470" formatCode="#,##0">
                  <c:v>2750</c:v>
                </c:pt>
                <c:pt idx="1471" formatCode="#,##0">
                  <c:v>2750</c:v>
                </c:pt>
                <c:pt idx="1472" formatCode="#,##0">
                  <c:v>2750</c:v>
                </c:pt>
                <c:pt idx="1473" formatCode="#,##0">
                  <c:v>2750</c:v>
                </c:pt>
                <c:pt idx="1474" formatCode="#,##0">
                  <c:v>2750</c:v>
                </c:pt>
                <c:pt idx="1475" formatCode="#,##0">
                  <c:v>2750</c:v>
                </c:pt>
                <c:pt idx="1476" formatCode="#,##0">
                  <c:v>2750</c:v>
                </c:pt>
                <c:pt idx="1477" formatCode="#,##0">
                  <c:v>2750</c:v>
                </c:pt>
                <c:pt idx="1478" formatCode="#,##0">
                  <c:v>2750</c:v>
                </c:pt>
                <c:pt idx="1479" formatCode="#,##0">
                  <c:v>2750</c:v>
                </c:pt>
                <c:pt idx="1480" formatCode="#,##0">
                  <c:v>2750</c:v>
                </c:pt>
                <c:pt idx="1481" formatCode="#,##0">
                  <c:v>2750</c:v>
                </c:pt>
                <c:pt idx="1482" formatCode="#,##0">
                  <c:v>2750</c:v>
                </c:pt>
                <c:pt idx="1483" formatCode="#,##0">
                  <c:v>2750</c:v>
                </c:pt>
                <c:pt idx="1484" formatCode="#,##0">
                  <c:v>2750</c:v>
                </c:pt>
                <c:pt idx="1485" formatCode="#,##0">
                  <c:v>2750</c:v>
                </c:pt>
                <c:pt idx="1486" formatCode="#,##0">
                  <c:v>2750</c:v>
                </c:pt>
                <c:pt idx="1487" formatCode="#,##0">
                  <c:v>2750</c:v>
                </c:pt>
                <c:pt idx="1488" formatCode="#,##0">
                  <c:v>2750</c:v>
                </c:pt>
                <c:pt idx="1489" formatCode="#,##0">
                  <c:v>2750</c:v>
                </c:pt>
                <c:pt idx="1490" formatCode="#,##0">
                  <c:v>2750</c:v>
                </c:pt>
                <c:pt idx="1491" formatCode="#,##0">
                  <c:v>2750</c:v>
                </c:pt>
                <c:pt idx="1492" formatCode="#,##0">
                  <c:v>2750</c:v>
                </c:pt>
                <c:pt idx="1493" formatCode="#,##0">
                  <c:v>2750</c:v>
                </c:pt>
                <c:pt idx="1494" formatCode="#,##0">
                  <c:v>2750</c:v>
                </c:pt>
                <c:pt idx="1495" formatCode="#,##0">
                  <c:v>2750</c:v>
                </c:pt>
                <c:pt idx="1496" formatCode="#,##0">
                  <c:v>2750</c:v>
                </c:pt>
                <c:pt idx="1497" formatCode="#,##0">
                  <c:v>2750</c:v>
                </c:pt>
                <c:pt idx="1498" formatCode="#,##0">
                  <c:v>2750</c:v>
                </c:pt>
                <c:pt idx="1499" formatCode="#,##0">
                  <c:v>2750</c:v>
                </c:pt>
                <c:pt idx="1500" formatCode="#,##0">
                  <c:v>2750</c:v>
                </c:pt>
                <c:pt idx="1501" formatCode="#,##0">
                  <c:v>2750</c:v>
                </c:pt>
                <c:pt idx="1502" formatCode="#,##0">
                  <c:v>2750</c:v>
                </c:pt>
                <c:pt idx="1503" formatCode="#,##0">
                  <c:v>2750</c:v>
                </c:pt>
                <c:pt idx="1504" formatCode="#,##0">
                  <c:v>2750</c:v>
                </c:pt>
                <c:pt idx="1505" formatCode="#,##0">
                  <c:v>2750</c:v>
                </c:pt>
                <c:pt idx="1506" formatCode="#,##0">
                  <c:v>2750</c:v>
                </c:pt>
                <c:pt idx="1507" formatCode="#,##0">
                  <c:v>2750</c:v>
                </c:pt>
                <c:pt idx="1508" formatCode="#,##0">
                  <c:v>2750</c:v>
                </c:pt>
                <c:pt idx="1509" formatCode="#,##0">
                  <c:v>2750</c:v>
                </c:pt>
                <c:pt idx="1510" formatCode="#,##0">
                  <c:v>2750</c:v>
                </c:pt>
                <c:pt idx="1511" formatCode="#,##0">
                  <c:v>2750</c:v>
                </c:pt>
                <c:pt idx="1512" formatCode="#,##0">
                  <c:v>2750</c:v>
                </c:pt>
                <c:pt idx="1513" formatCode="#,##0">
                  <c:v>2750</c:v>
                </c:pt>
                <c:pt idx="1514" formatCode="#,##0">
                  <c:v>2750</c:v>
                </c:pt>
                <c:pt idx="1515" formatCode="#,##0">
                  <c:v>2750</c:v>
                </c:pt>
                <c:pt idx="1516" formatCode="#,##0">
                  <c:v>2750</c:v>
                </c:pt>
                <c:pt idx="1517" formatCode="#,##0">
                  <c:v>2750</c:v>
                </c:pt>
                <c:pt idx="1518" formatCode="#,##0">
                  <c:v>2750</c:v>
                </c:pt>
                <c:pt idx="1519" formatCode="#,##0">
                  <c:v>2750</c:v>
                </c:pt>
                <c:pt idx="1520" formatCode="#,##0">
                  <c:v>2750</c:v>
                </c:pt>
                <c:pt idx="1521" formatCode="#,##0">
                  <c:v>2750</c:v>
                </c:pt>
                <c:pt idx="1522" formatCode="#,##0">
                  <c:v>2750</c:v>
                </c:pt>
                <c:pt idx="1523" formatCode="#,##0">
                  <c:v>2750</c:v>
                </c:pt>
                <c:pt idx="1524" formatCode="#,##0">
                  <c:v>2750</c:v>
                </c:pt>
                <c:pt idx="1525" formatCode="#,##0">
                  <c:v>2750</c:v>
                </c:pt>
                <c:pt idx="1526" formatCode="#,##0">
                  <c:v>2750</c:v>
                </c:pt>
                <c:pt idx="1527" formatCode="#,##0">
                  <c:v>2750</c:v>
                </c:pt>
                <c:pt idx="1528" formatCode="#,##0">
                  <c:v>2750</c:v>
                </c:pt>
                <c:pt idx="1529" formatCode="#,##0">
                  <c:v>2750</c:v>
                </c:pt>
                <c:pt idx="1530" formatCode="#,##0">
                  <c:v>2750</c:v>
                </c:pt>
                <c:pt idx="1531" formatCode="#,##0">
                  <c:v>2750</c:v>
                </c:pt>
                <c:pt idx="1532" formatCode="#,##0">
                  <c:v>2750</c:v>
                </c:pt>
                <c:pt idx="1533" formatCode="#,##0">
                  <c:v>2750</c:v>
                </c:pt>
                <c:pt idx="1534" formatCode="#,##0">
                  <c:v>2750</c:v>
                </c:pt>
                <c:pt idx="1535" formatCode="#,##0">
                  <c:v>2750</c:v>
                </c:pt>
                <c:pt idx="1536" formatCode="#,##0">
                  <c:v>2750</c:v>
                </c:pt>
                <c:pt idx="1537" formatCode="#,##0">
                  <c:v>2750</c:v>
                </c:pt>
                <c:pt idx="1538" formatCode="#,##0">
                  <c:v>2750</c:v>
                </c:pt>
                <c:pt idx="1539" formatCode="#,##0">
                  <c:v>2750</c:v>
                </c:pt>
                <c:pt idx="1540" formatCode="#,##0">
                  <c:v>2750</c:v>
                </c:pt>
                <c:pt idx="1541" formatCode="#,##0">
                  <c:v>2750</c:v>
                </c:pt>
                <c:pt idx="1542" formatCode="#,##0">
                  <c:v>2750</c:v>
                </c:pt>
                <c:pt idx="1543" formatCode="#,##0">
                  <c:v>2750</c:v>
                </c:pt>
                <c:pt idx="1544" formatCode="#,##0">
                  <c:v>2750</c:v>
                </c:pt>
                <c:pt idx="1545" formatCode="#,##0">
                  <c:v>2750</c:v>
                </c:pt>
                <c:pt idx="1546" formatCode="#,##0">
                  <c:v>2750</c:v>
                </c:pt>
                <c:pt idx="1547" formatCode="#,##0">
                  <c:v>2750</c:v>
                </c:pt>
                <c:pt idx="1548" formatCode="#,##0">
                  <c:v>2750</c:v>
                </c:pt>
                <c:pt idx="1549" formatCode="#,##0">
                  <c:v>2750</c:v>
                </c:pt>
                <c:pt idx="1550" formatCode="#,##0">
                  <c:v>2750</c:v>
                </c:pt>
                <c:pt idx="1551" formatCode="#,##0">
                  <c:v>2750</c:v>
                </c:pt>
                <c:pt idx="1552" formatCode="#,##0">
                  <c:v>3050</c:v>
                </c:pt>
                <c:pt idx="1553" formatCode="#,##0">
                  <c:v>3050</c:v>
                </c:pt>
                <c:pt idx="1554" formatCode="#,##0">
                  <c:v>3050</c:v>
                </c:pt>
                <c:pt idx="1555" formatCode="#,##0">
                  <c:v>3050</c:v>
                </c:pt>
                <c:pt idx="1556" formatCode="#,##0">
                  <c:v>3050</c:v>
                </c:pt>
                <c:pt idx="1557" formatCode="#,##0">
                  <c:v>3050</c:v>
                </c:pt>
                <c:pt idx="1558" formatCode="#,##0">
                  <c:v>3050</c:v>
                </c:pt>
                <c:pt idx="1559" formatCode="#,##0">
                  <c:v>3050</c:v>
                </c:pt>
                <c:pt idx="1560" formatCode="#,##0">
                  <c:v>3050</c:v>
                </c:pt>
                <c:pt idx="1561" formatCode="#,##0">
                  <c:v>3050</c:v>
                </c:pt>
                <c:pt idx="1562" formatCode="#,##0">
                  <c:v>3050</c:v>
                </c:pt>
                <c:pt idx="1563" formatCode="#,##0">
                  <c:v>3050</c:v>
                </c:pt>
                <c:pt idx="1564" formatCode="#,##0">
                  <c:v>3050</c:v>
                </c:pt>
                <c:pt idx="1565" formatCode="#,##0">
                  <c:v>3050</c:v>
                </c:pt>
                <c:pt idx="1566" formatCode="#,##0">
                  <c:v>3050</c:v>
                </c:pt>
                <c:pt idx="1567" formatCode="#,##0">
                  <c:v>3050</c:v>
                </c:pt>
                <c:pt idx="1568" formatCode="#,##0">
                  <c:v>3050</c:v>
                </c:pt>
                <c:pt idx="1569" formatCode="#,##0">
                  <c:v>3050</c:v>
                </c:pt>
                <c:pt idx="1570" formatCode="#,##0">
                  <c:v>3050</c:v>
                </c:pt>
                <c:pt idx="1571" formatCode="#,##0">
                  <c:v>3050</c:v>
                </c:pt>
                <c:pt idx="1572" formatCode="#,##0">
                  <c:v>3050</c:v>
                </c:pt>
                <c:pt idx="1573" formatCode="#,##0">
                  <c:v>3050</c:v>
                </c:pt>
                <c:pt idx="1574" formatCode="#,##0">
                  <c:v>3050</c:v>
                </c:pt>
                <c:pt idx="1575" formatCode="#,##0">
                  <c:v>3050</c:v>
                </c:pt>
                <c:pt idx="1576" formatCode="#,##0">
                  <c:v>3050</c:v>
                </c:pt>
                <c:pt idx="1577" formatCode="#,##0">
                  <c:v>3050</c:v>
                </c:pt>
                <c:pt idx="1578" formatCode="#,##0">
                  <c:v>3050</c:v>
                </c:pt>
                <c:pt idx="1579" formatCode="#,##0">
                  <c:v>3050</c:v>
                </c:pt>
                <c:pt idx="1580" formatCode="#,##0">
                  <c:v>3050</c:v>
                </c:pt>
                <c:pt idx="1581" formatCode="#,##0">
                  <c:v>3050</c:v>
                </c:pt>
                <c:pt idx="1582" formatCode="#,##0">
                  <c:v>3050</c:v>
                </c:pt>
                <c:pt idx="1583" formatCode="#,##0">
                  <c:v>3050</c:v>
                </c:pt>
                <c:pt idx="1584" formatCode="#,##0">
                  <c:v>3050</c:v>
                </c:pt>
                <c:pt idx="1585" formatCode="#,##0">
                  <c:v>3050</c:v>
                </c:pt>
                <c:pt idx="1586" formatCode="#,##0">
                  <c:v>3050</c:v>
                </c:pt>
                <c:pt idx="1587" formatCode="#,##0">
                  <c:v>3050</c:v>
                </c:pt>
                <c:pt idx="1588" formatCode="#,##0">
                  <c:v>3050</c:v>
                </c:pt>
                <c:pt idx="1589" formatCode="#,##0">
                  <c:v>3050</c:v>
                </c:pt>
                <c:pt idx="1590" formatCode="#,##0">
                  <c:v>3050</c:v>
                </c:pt>
                <c:pt idx="1591" formatCode="#,##0">
                  <c:v>3050</c:v>
                </c:pt>
                <c:pt idx="1592" formatCode="#,##0">
                  <c:v>3050</c:v>
                </c:pt>
                <c:pt idx="1593" formatCode="#,##0">
                  <c:v>3050</c:v>
                </c:pt>
                <c:pt idx="1594" formatCode="#,##0">
                  <c:v>3050</c:v>
                </c:pt>
                <c:pt idx="1595" formatCode="#,##0">
                  <c:v>3050</c:v>
                </c:pt>
                <c:pt idx="1596" formatCode="#,##0">
                  <c:v>3050</c:v>
                </c:pt>
                <c:pt idx="1597" formatCode="#,##0">
                  <c:v>3050</c:v>
                </c:pt>
                <c:pt idx="1598" formatCode="#,##0">
                  <c:v>3050</c:v>
                </c:pt>
                <c:pt idx="1599" formatCode="#,##0">
                  <c:v>3050</c:v>
                </c:pt>
                <c:pt idx="1600" formatCode="#,##0">
                  <c:v>3050</c:v>
                </c:pt>
                <c:pt idx="1601" formatCode="#,##0">
                  <c:v>3050</c:v>
                </c:pt>
                <c:pt idx="1602" formatCode="#,##0">
                  <c:v>3050</c:v>
                </c:pt>
                <c:pt idx="1603" formatCode="#,##0">
                  <c:v>3050</c:v>
                </c:pt>
                <c:pt idx="1604" formatCode="#,##0">
                  <c:v>3050</c:v>
                </c:pt>
                <c:pt idx="1605" formatCode="#,##0">
                  <c:v>3050</c:v>
                </c:pt>
                <c:pt idx="1606" formatCode="#,##0">
                  <c:v>3050</c:v>
                </c:pt>
                <c:pt idx="1607" formatCode="#,##0">
                  <c:v>3050</c:v>
                </c:pt>
                <c:pt idx="1608" formatCode="#,##0">
                  <c:v>3050</c:v>
                </c:pt>
                <c:pt idx="1609" formatCode="#,##0">
                  <c:v>3050</c:v>
                </c:pt>
                <c:pt idx="1610" formatCode="#,##0">
                  <c:v>3050</c:v>
                </c:pt>
                <c:pt idx="1611" formatCode="#,##0">
                  <c:v>3050</c:v>
                </c:pt>
                <c:pt idx="1612" formatCode="#,##0">
                  <c:v>3050</c:v>
                </c:pt>
                <c:pt idx="1613" formatCode="#,##0">
                  <c:v>3050</c:v>
                </c:pt>
                <c:pt idx="1614" formatCode="#,##0">
                  <c:v>3050</c:v>
                </c:pt>
                <c:pt idx="1615" formatCode="#,##0">
                  <c:v>3050</c:v>
                </c:pt>
                <c:pt idx="1616" formatCode="#,##0">
                  <c:v>3050</c:v>
                </c:pt>
                <c:pt idx="1617" formatCode="#,##0">
                  <c:v>3050</c:v>
                </c:pt>
                <c:pt idx="1618" formatCode="#,##0">
                  <c:v>3050</c:v>
                </c:pt>
                <c:pt idx="1619" formatCode="#,##0">
                  <c:v>3050</c:v>
                </c:pt>
                <c:pt idx="1620" formatCode="#,##0">
                  <c:v>3050</c:v>
                </c:pt>
                <c:pt idx="1621" formatCode="#,##0">
                  <c:v>3050</c:v>
                </c:pt>
                <c:pt idx="1622" formatCode="#,##0">
                  <c:v>3050</c:v>
                </c:pt>
                <c:pt idx="1623" formatCode="#,##0">
                  <c:v>3050</c:v>
                </c:pt>
                <c:pt idx="1624" formatCode="#,##0">
                  <c:v>3050</c:v>
                </c:pt>
                <c:pt idx="1625" formatCode="#,##0">
                  <c:v>3050</c:v>
                </c:pt>
                <c:pt idx="1626" formatCode="#,##0">
                  <c:v>3050</c:v>
                </c:pt>
                <c:pt idx="1627" formatCode="#,##0">
                  <c:v>3050</c:v>
                </c:pt>
                <c:pt idx="1628" formatCode="#,##0">
                  <c:v>3050</c:v>
                </c:pt>
                <c:pt idx="1629" formatCode="#,##0">
                  <c:v>3050</c:v>
                </c:pt>
                <c:pt idx="1630" formatCode="#,##0">
                  <c:v>3050</c:v>
                </c:pt>
                <c:pt idx="1631" formatCode="#,##0">
                  <c:v>3050</c:v>
                </c:pt>
                <c:pt idx="1632" formatCode="#,##0">
                  <c:v>3050</c:v>
                </c:pt>
                <c:pt idx="1633" formatCode="#,##0">
                  <c:v>3050</c:v>
                </c:pt>
                <c:pt idx="1634" formatCode="#,##0">
                  <c:v>3050</c:v>
                </c:pt>
                <c:pt idx="1635" formatCode="#,##0">
                  <c:v>3050</c:v>
                </c:pt>
                <c:pt idx="1636" formatCode="#,##0">
                  <c:v>3050</c:v>
                </c:pt>
                <c:pt idx="1637" formatCode="#,##0">
                  <c:v>3050</c:v>
                </c:pt>
                <c:pt idx="1638" formatCode="#,##0">
                  <c:v>3050</c:v>
                </c:pt>
                <c:pt idx="1639" formatCode="#,##0">
                  <c:v>3050</c:v>
                </c:pt>
                <c:pt idx="1640" formatCode="#,##0">
                  <c:v>3050</c:v>
                </c:pt>
                <c:pt idx="1641" formatCode="#,##0">
                  <c:v>3050</c:v>
                </c:pt>
                <c:pt idx="1642" formatCode="#,##0">
                  <c:v>3050</c:v>
                </c:pt>
                <c:pt idx="1643" formatCode="#,##0">
                  <c:v>3050</c:v>
                </c:pt>
                <c:pt idx="1644" formatCode="#,##0">
                  <c:v>3050</c:v>
                </c:pt>
                <c:pt idx="1645" formatCode="#,##0">
                  <c:v>3050</c:v>
                </c:pt>
                <c:pt idx="1646" formatCode="#,##0">
                  <c:v>3050</c:v>
                </c:pt>
                <c:pt idx="1647" formatCode="#,##0">
                  <c:v>3050</c:v>
                </c:pt>
                <c:pt idx="1648" formatCode="#,##0">
                  <c:v>3050</c:v>
                </c:pt>
                <c:pt idx="1649" formatCode="#,##0">
                  <c:v>3050</c:v>
                </c:pt>
                <c:pt idx="1650" formatCode="#,##0">
                  <c:v>3050</c:v>
                </c:pt>
                <c:pt idx="1651" formatCode="#,##0">
                  <c:v>3050</c:v>
                </c:pt>
                <c:pt idx="1652" formatCode="#,##0">
                  <c:v>3050</c:v>
                </c:pt>
                <c:pt idx="1653" formatCode="#,##0">
                  <c:v>3050</c:v>
                </c:pt>
                <c:pt idx="1654" formatCode="#,##0">
                  <c:v>3050</c:v>
                </c:pt>
                <c:pt idx="1655" formatCode="#,##0">
                  <c:v>3050</c:v>
                </c:pt>
                <c:pt idx="1656" formatCode="#,##0">
                  <c:v>3050</c:v>
                </c:pt>
                <c:pt idx="1657" formatCode="#,##0">
                  <c:v>3050</c:v>
                </c:pt>
                <c:pt idx="1658" formatCode="#,##0">
                  <c:v>3050</c:v>
                </c:pt>
                <c:pt idx="1659" formatCode="#,##0">
                  <c:v>3050</c:v>
                </c:pt>
                <c:pt idx="1660" formatCode="#,##0">
                  <c:v>3050</c:v>
                </c:pt>
                <c:pt idx="1661" formatCode="#,##0">
                  <c:v>3050</c:v>
                </c:pt>
                <c:pt idx="1662" formatCode="#,##0">
                  <c:v>3050</c:v>
                </c:pt>
                <c:pt idx="1663" formatCode="#,##0">
                  <c:v>3050</c:v>
                </c:pt>
                <c:pt idx="1664" formatCode="#,##0">
                  <c:v>3050</c:v>
                </c:pt>
                <c:pt idx="1665" formatCode="#,##0">
                  <c:v>3050</c:v>
                </c:pt>
                <c:pt idx="1666" formatCode="#,##0">
                  <c:v>3050</c:v>
                </c:pt>
                <c:pt idx="1667" formatCode="#,##0">
                  <c:v>3050</c:v>
                </c:pt>
                <c:pt idx="1668" formatCode="#,##0">
                  <c:v>3050</c:v>
                </c:pt>
                <c:pt idx="1669" formatCode="#,##0">
                  <c:v>3050</c:v>
                </c:pt>
                <c:pt idx="1670" formatCode="#,##0">
                  <c:v>3050</c:v>
                </c:pt>
                <c:pt idx="1671" formatCode="#,##0">
                  <c:v>3050</c:v>
                </c:pt>
                <c:pt idx="1672" formatCode="#,##0">
                  <c:v>3050</c:v>
                </c:pt>
                <c:pt idx="1673" formatCode="#,##0">
                  <c:v>3050</c:v>
                </c:pt>
                <c:pt idx="1674" formatCode="#,##0">
                  <c:v>3050</c:v>
                </c:pt>
                <c:pt idx="1675" formatCode="#,##0">
                  <c:v>3050</c:v>
                </c:pt>
                <c:pt idx="1676" formatCode="#,##0">
                  <c:v>3050</c:v>
                </c:pt>
                <c:pt idx="1677" formatCode="#,##0">
                  <c:v>3050</c:v>
                </c:pt>
                <c:pt idx="1678" formatCode="#,##0">
                  <c:v>3050</c:v>
                </c:pt>
                <c:pt idx="1679" formatCode="#,##0">
                  <c:v>3050</c:v>
                </c:pt>
                <c:pt idx="1680" formatCode="#,##0">
                  <c:v>3050</c:v>
                </c:pt>
                <c:pt idx="1681" formatCode="#,##0">
                  <c:v>3050</c:v>
                </c:pt>
                <c:pt idx="1682" formatCode="#,##0">
                  <c:v>3050</c:v>
                </c:pt>
                <c:pt idx="1683" formatCode="#,##0">
                  <c:v>3050</c:v>
                </c:pt>
                <c:pt idx="1684" formatCode="#,##0">
                  <c:v>3050</c:v>
                </c:pt>
                <c:pt idx="1685" formatCode="#,##0">
                  <c:v>3050</c:v>
                </c:pt>
                <c:pt idx="1686" formatCode="#,##0">
                  <c:v>3050</c:v>
                </c:pt>
                <c:pt idx="1687" formatCode="#,##0">
                  <c:v>3050</c:v>
                </c:pt>
                <c:pt idx="1688" formatCode="#,##0">
                  <c:v>3050</c:v>
                </c:pt>
                <c:pt idx="1689" formatCode="#,##0">
                  <c:v>3050</c:v>
                </c:pt>
                <c:pt idx="1690" formatCode="#,##0">
                  <c:v>3050</c:v>
                </c:pt>
                <c:pt idx="1691" formatCode="#,##0">
                  <c:v>3050</c:v>
                </c:pt>
                <c:pt idx="1692" formatCode="#,##0">
                  <c:v>3050</c:v>
                </c:pt>
                <c:pt idx="1693" formatCode="#,##0">
                  <c:v>3050</c:v>
                </c:pt>
                <c:pt idx="1694" formatCode="#,##0">
                  <c:v>3050</c:v>
                </c:pt>
                <c:pt idx="1695" formatCode="#,##0">
                  <c:v>3050</c:v>
                </c:pt>
                <c:pt idx="1696" formatCode="#,##0">
                  <c:v>3050</c:v>
                </c:pt>
                <c:pt idx="1697" formatCode="#,##0">
                  <c:v>3050</c:v>
                </c:pt>
                <c:pt idx="1698" formatCode="#,##0">
                  <c:v>3050</c:v>
                </c:pt>
                <c:pt idx="1699" formatCode="#,##0">
                  <c:v>3050</c:v>
                </c:pt>
                <c:pt idx="1700" formatCode="#,##0">
                  <c:v>3050</c:v>
                </c:pt>
                <c:pt idx="1701" formatCode="#,##0">
                  <c:v>3050</c:v>
                </c:pt>
                <c:pt idx="1702" formatCode="#,##0">
                  <c:v>3050</c:v>
                </c:pt>
                <c:pt idx="1703" formatCode="#,##0">
                  <c:v>3050</c:v>
                </c:pt>
                <c:pt idx="1704" formatCode="#,##0">
                  <c:v>3050</c:v>
                </c:pt>
                <c:pt idx="1705" formatCode="#,##0">
                  <c:v>3050</c:v>
                </c:pt>
                <c:pt idx="1706" formatCode="#,##0">
                  <c:v>3050</c:v>
                </c:pt>
                <c:pt idx="1707" formatCode="#,##0">
                  <c:v>3050</c:v>
                </c:pt>
                <c:pt idx="1708" formatCode="#,##0">
                  <c:v>3050</c:v>
                </c:pt>
                <c:pt idx="1709" formatCode="#,##0">
                  <c:v>3050</c:v>
                </c:pt>
                <c:pt idx="1710" formatCode="#,##0">
                  <c:v>3050</c:v>
                </c:pt>
                <c:pt idx="1711" formatCode="#,##0">
                  <c:v>3050</c:v>
                </c:pt>
                <c:pt idx="1712" formatCode="#,##0">
                  <c:v>3050</c:v>
                </c:pt>
                <c:pt idx="1713" formatCode="#,##0">
                  <c:v>3050</c:v>
                </c:pt>
                <c:pt idx="1714" formatCode="#,##0">
                  <c:v>3050</c:v>
                </c:pt>
                <c:pt idx="1715" formatCode="#,##0">
                  <c:v>3050</c:v>
                </c:pt>
                <c:pt idx="1716" formatCode="#,##0">
                  <c:v>3050</c:v>
                </c:pt>
                <c:pt idx="1717" formatCode="#,##0">
                  <c:v>3050</c:v>
                </c:pt>
                <c:pt idx="1718" formatCode="#,##0">
                  <c:v>3350</c:v>
                </c:pt>
                <c:pt idx="1719" formatCode="#,##0">
                  <c:v>3350</c:v>
                </c:pt>
                <c:pt idx="1720" formatCode="#,##0">
                  <c:v>3350</c:v>
                </c:pt>
                <c:pt idx="1721" formatCode="#,##0">
                  <c:v>3350</c:v>
                </c:pt>
                <c:pt idx="1722" formatCode="#,##0">
                  <c:v>3350</c:v>
                </c:pt>
                <c:pt idx="1723" formatCode="#,##0">
                  <c:v>3350</c:v>
                </c:pt>
                <c:pt idx="1724" formatCode="#,##0">
                  <c:v>3350</c:v>
                </c:pt>
                <c:pt idx="1725" formatCode="#,##0">
                  <c:v>3350</c:v>
                </c:pt>
                <c:pt idx="1726" formatCode="#,##0">
                  <c:v>3350</c:v>
                </c:pt>
                <c:pt idx="1727" formatCode="#,##0">
                  <c:v>3350</c:v>
                </c:pt>
                <c:pt idx="1728" formatCode="#,##0">
                  <c:v>3350</c:v>
                </c:pt>
                <c:pt idx="1729" formatCode="#,##0">
                  <c:v>3350</c:v>
                </c:pt>
                <c:pt idx="1730" formatCode="#,##0">
                  <c:v>3350</c:v>
                </c:pt>
                <c:pt idx="1731" formatCode="#,##0">
                  <c:v>3350</c:v>
                </c:pt>
                <c:pt idx="1732" formatCode="#,##0">
                  <c:v>3350</c:v>
                </c:pt>
                <c:pt idx="1733" formatCode="#,##0">
                  <c:v>3350</c:v>
                </c:pt>
                <c:pt idx="1734" formatCode="#,##0">
                  <c:v>3350</c:v>
                </c:pt>
                <c:pt idx="1735" formatCode="#,##0">
                  <c:v>3350</c:v>
                </c:pt>
                <c:pt idx="1736" formatCode="#,##0">
                  <c:v>3350</c:v>
                </c:pt>
                <c:pt idx="1737" formatCode="#,##0">
                  <c:v>3350</c:v>
                </c:pt>
                <c:pt idx="1738" formatCode="#,##0">
                  <c:v>3350</c:v>
                </c:pt>
                <c:pt idx="1739" formatCode="#,##0">
                  <c:v>3350</c:v>
                </c:pt>
                <c:pt idx="1740" formatCode="#,##0">
                  <c:v>3350</c:v>
                </c:pt>
                <c:pt idx="1741" formatCode="#,##0">
                  <c:v>3350</c:v>
                </c:pt>
                <c:pt idx="1742" formatCode="#,##0">
                  <c:v>3350</c:v>
                </c:pt>
                <c:pt idx="1743" formatCode="#,##0">
                  <c:v>3350</c:v>
                </c:pt>
                <c:pt idx="1744" formatCode="#,##0">
                  <c:v>3350</c:v>
                </c:pt>
                <c:pt idx="1745" formatCode="#,##0">
                  <c:v>3350</c:v>
                </c:pt>
                <c:pt idx="1746" formatCode="#,##0">
                  <c:v>3350</c:v>
                </c:pt>
                <c:pt idx="1747" formatCode="#,##0">
                  <c:v>3350</c:v>
                </c:pt>
                <c:pt idx="1748" formatCode="#,##0">
                  <c:v>3350</c:v>
                </c:pt>
                <c:pt idx="1749" formatCode="#,##0">
                  <c:v>3350</c:v>
                </c:pt>
                <c:pt idx="1750" formatCode="#,##0">
                  <c:v>3350</c:v>
                </c:pt>
                <c:pt idx="1751" formatCode="#,##0">
                  <c:v>3350</c:v>
                </c:pt>
                <c:pt idx="1752" formatCode="#,##0">
                  <c:v>3350</c:v>
                </c:pt>
                <c:pt idx="1753" formatCode="#,##0">
                  <c:v>3350</c:v>
                </c:pt>
                <c:pt idx="1754" formatCode="#,##0">
                  <c:v>3350</c:v>
                </c:pt>
                <c:pt idx="1755" formatCode="#,##0">
                  <c:v>3350</c:v>
                </c:pt>
                <c:pt idx="1756" formatCode="#,##0">
                  <c:v>3350</c:v>
                </c:pt>
                <c:pt idx="1757" formatCode="#,##0">
                  <c:v>3350</c:v>
                </c:pt>
                <c:pt idx="1758" formatCode="#,##0">
                  <c:v>3350</c:v>
                </c:pt>
                <c:pt idx="1759" formatCode="#,##0">
                  <c:v>3350</c:v>
                </c:pt>
                <c:pt idx="1760" formatCode="#,##0">
                  <c:v>3350</c:v>
                </c:pt>
                <c:pt idx="1761" formatCode="#,##0">
                  <c:v>3350</c:v>
                </c:pt>
                <c:pt idx="1762" formatCode="#,##0">
                  <c:v>3350</c:v>
                </c:pt>
                <c:pt idx="1763" formatCode="#,##0">
                  <c:v>3350</c:v>
                </c:pt>
                <c:pt idx="1764" formatCode="#,##0">
                  <c:v>3350</c:v>
                </c:pt>
                <c:pt idx="1765" formatCode="#,##0">
                  <c:v>3350</c:v>
                </c:pt>
                <c:pt idx="1766" formatCode="#,##0">
                  <c:v>3350</c:v>
                </c:pt>
                <c:pt idx="1767" formatCode="#,##0">
                  <c:v>3350</c:v>
                </c:pt>
                <c:pt idx="1768" formatCode="#,##0">
                  <c:v>3350</c:v>
                </c:pt>
                <c:pt idx="1769" formatCode="#,##0">
                  <c:v>3350</c:v>
                </c:pt>
                <c:pt idx="1770" formatCode="#,##0">
                  <c:v>3350</c:v>
                </c:pt>
                <c:pt idx="1771" formatCode="#,##0">
                  <c:v>3350</c:v>
                </c:pt>
                <c:pt idx="1772" formatCode="#,##0">
                  <c:v>3350</c:v>
                </c:pt>
                <c:pt idx="1773" formatCode="#,##0">
                  <c:v>3350</c:v>
                </c:pt>
                <c:pt idx="1774" formatCode="#,##0">
                  <c:v>3350</c:v>
                </c:pt>
                <c:pt idx="1775" formatCode="#,##0">
                  <c:v>3350</c:v>
                </c:pt>
                <c:pt idx="1776" formatCode="#,##0">
                  <c:v>3350</c:v>
                </c:pt>
                <c:pt idx="1777" formatCode="#,##0">
                  <c:v>3350</c:v>
                </c:pt>
                <c:pt idx="1778" formatCode="#,##0">
                  <c:v>3350</c:v>
                </c:pt>
                <c:pt idx="1779" formatCode="#,##0">
                  <c:v>3350</c:v>
                </c:pt>
                <c:pt idx="1780" formatCode="#,##0">
                  <c:v>3350</c:v>
                </c:pt>
                <c:pt idx="1781" formatCode="#,##0">
                  <c:v>3350</c:v>
                </c:pt>
                <c:pt idx="1782" formatCode="#,##0">
                  <c:v>3350</c:v>
                </c:pt>
                <c:pt idx="1783" formatCode="#,##0">
                  <c:v>3350</c:v>
                </c:pt>
                <c:pt idx="1784" formatCode="#,##0">
                  <c:v>3350</c:v>
                </c:pt>
                <c:pt idx="1785" formatCode="#,##0">
                  <c:v>3350</c:v>
                </c:pt>
                <c:pt idx="1786" formatCode="#,##0">
                  <c:v>3350</c:v>
                </c:pt>
                <c:pt idx="1787" formatCode="#,##0">
                  <c:v>3350</c:v>
                </c:pt>
                <c:pt idx="1788" formatCode="#,##0">
                  <c:v>3350</c:v>
                </c:pt>
                <c:pt idx="1789" formatCode="#,##0">
                  <c:v>3350</c:v>
                </c:pt>
                <c:pt idx="1790" formatCode="#,##0">
                  <c:v>3350</c:v>
                </c:pt>
                <c:pt idx="1791" formatCode="#,##0">
                  <c:v>3350</c:v>
                </c:pt>
                <c:pt idx="1792" formatCode="#,##0">
                  <c:v>3350</c:v>
                </c:pt>
                <c:pt idx="1793" formatCode="#,##0">
                  <c:v>3350</c:v>
                </c:pt>
                <c:pt idx="1794" formatCode="#,##0">
                  <c:v>3350</c:v>
                </c:pt>
                <c:pt idx="1795" formatCode="#,##0">
                  <c:v>3350</c:v>
                </c:pt>
                <c:pt idx="1796" formatCode="#,##0">
                  <c:v>3350</c:v>
                </c:pt>
                <c:pt idx="1797" formatCode="#,##0">
                  <c:v>3350</c:v>
                </c:pt>
                <c:pt idx="1798" formatCode="#,##0">
                  <c:v>3350</c:v>
                </c:pt>
                <c:pt idx="1799" formatCode="#,##0">
                  <c:v>3350</c:v>
                </c:pt>
                <c:pt idx="1800" formatCode="#,##0">
                  <c:v>3350</c:v>
                </c:pt>
                <c:pt idx="1801" formatCode="#,##0">
                  <c:v>3350</c:v>
                </c:pt>
                <c:pt idx="1802" formatCode="#,##0">
                  <c:v>3350</c:v>
                </c:pt>
                <c:pt idx="1803" formatCode="#,##0">
                  <c:v>3350</c:v>
                </c:pt>
                <c:pt idx="1804" formatCode="#,##0">
                  <c:v>3350</c:v>
                </c:pt>
                <c:pt idx="1805" formatCode="#,##0">
                  <c:v>3350</c:v>
                </c:pt>
                <c:pt idx="1806" formatCode="#,##0">
                  <c:v>3350</c:v>
                </c:pt>
                <c:pt idx="1807" formatCode="#,##0">
                  <c:v>3350</c:v>
                </c:pt>
                <c:pt idx="1808" formatCode="#,##0">
                  <c:v>3350</c:v>
                </c:pt>
                <c:pt idx="1809" formatCode="#,##0">
                  <c:v>3350</c:v>
                </c:pt>
                <c:pt idx="1810" formatCode="#,##0">
                  <c:v>3350</c:v>
                </c:pt>
                <c:pt idx="1811" formatCode="#,##0">
                  <c:v>3350</c:v>
                </c:pt>
                <c:pt idx="1812" formatCode="#,##0">
                  <c:v>3350</c:v>
                </c:pt>
                <c:pt idx="1813" formatCode="#,##0">
                  <c:v>3350</c:v>
                </c:pt>
                <c:pt idx="1814" formatCode="#,##0">
                  <c:v>3350</c:v>
                </c:pt>
                <c:pt idx="1815" formatCode="#,##0">
                  <c:v>3350</c:v>
                </c:pt>
                <c:pt idx="1816" formatCode="#,##0">
                  <c:v>3350</c:v>
                </c:pt>
                <c:pt idx="1817" formatCode="#,##0">
                  <c:v>3350</c:v>
                </c:pt>
                <c:pt idx="1818" formatCode="#,##0">
                  <c:v>3350</c:v>
                </c:pt>
                <c:pt idx="1819" formatCode="#,##0">
                  <c:v>3350</c:v>
                </c:pt>
                <c:pt idx="1820" formatCode="#,##0">
                  <c:v>3350</c:v>
                </c:pt>
                <c:pt idx="1821" formatCode="#,##0">
                  <c:v>3350</c:v>
                </c:pt>
                <c:pt idx="1822" formatCode="#,##0">
                  <c:v>3350</c:v>
                </c:pt>
                <c:pt idx="1823" formatCode="#,##0">
                  <c:v>3350</c:v>
                </c:pt>
                <c:pt idx="1824" formatCode="#,##0">
                  <c:v>3350</c:v>
                </c:pt>
                <c:pt idx="1825" formatCode="#,##0">
                  <c:v>3350</c:v>
                </c:pt>
                <c:pt idx="1826" formatCode="#,##0">
                  <c:v>3350</c:v>
                </c:pt>
                <c:pt idx="1827" formatCode="#,##0">
                  <c:v>3350</c:v>
                </c:pt>
                <c:pt idx="1828" formatCode="#,##0">
                  <c:v>3350</c:v>
                </c:pt>
                <c:pt idx="1829" formatCode="#,##0">
                  <c:v>3350</c:v>
                </c:pt>
                <c:pt idx="1830" formatCode="#,##0">
                  <c:v>3350</c:v>
                </c:pt>
                <c:pt idx="1831" formatCode="#,##0">
                  <c:v>3350</c:v>
                </c:pt>
                <c:pt idx="1832" formatCode="#,##0">
                  <c:v>3350</c:v>
                </c:pt>
                <c:pt idx="1833" formatCode="#,##0">
                  <c:v>3350</c:v>
                </c:pt>
                <c:pt idx="1834" formatCode="#,##0">
                  <c:v>3350</c:v>
                </c:pt>
                <c:pt idx="1835" formatCode="#,##0">
                  <c:v>3350</c:v>
                </c:pt>
                <c:pt idx="1836" formatCode="#,##0">
                  <c:v>3350</c:v>
                </c:pt>
                <c:pt idx="1837" formatCode="#,##0">
                  <c:v>3350</c:v>
                </c:pt>
                <c:pt idx="1838" formatCode="#,##0">
                  <c:v>3350</c:v>
                </c:pt>
                <c:pt idx="1839" formatCode="#,##0">
                  <c:v>3350</c:v>
                </c:pt>
                <c:pt idx="1840" formatCode="#,##0">
                  <c:v>3350</c:v>
                </c:pt>
                <c:pt idx="1841" formatCode="#,##0">
                  <c:v>3350</c:v>
                </c:pt>
                <c:pt idx="1842" formatCode="#,##0">
                  <c:v>3350</c:v>
                </c:pt>
                <c:pt idx="1843" formatCode="#,##0">
                  <c:v>3350</c:v>
                </c:pt>
                <c:pt idx="1844" formatCode="#,##0">
                  <c:v>3350</c:v>
                </c:pt>
                <c:pt idx="1845" formatCode="#,##0">
                  <c:v>3350</c:v>
                </c:pt>
                <c:pt idx="1846" formatCode="#,##0">
                  <c:v>3350</c:v>
                </c:pt>
                <c:pt idx="1847" formatCode="#,##0">
                  <c:v>3350</c:v>
                </c:pt>
                <c:pt idx="1848" formatCode="#,##0">
                  <c:v>3350</c:v>
                </c:pt>
                <c:pt idx="1849" formatCode="#,##0">
                  <c:v>3350</c:v>
                </c:pt>
                <c:pt idx="1850" formatCode="#,##0">
                  <c:v>3350</c:v>
                </c:pt>
                <c:pt idx="1851" formatCode="#,##0">
                  <c:v>3350</c:v>
                </c:pt>
                <c:pt idx="1852" formatCode="#,##0">
                  <c:v>3350</c:v>
                </c:pt>
                <c:pt idx="1853" formatCode="#,##0">
                  <c:v>3350</c:v>
                </c:pt>
                <c:pt idx="1854" formatCode="#,##0">
                  <c:v>3350</c:v>
                </c:pt>
                <c:pt idx="1855" formatCode="#,##0">
                  <c:v>3350</c:v>
                </c:pt>
                <c:pt idx="1856" formatCode="#,##0">
                  <c:v>3350</c:v>
                </c:pt>
                <c:pt idx="1857" formatCode="#,##0">
                  <c:v>3350</c:v>
                </c:pt>
                <c:pt idx="1858" formatCode="#,##0">
                  <c:v>3350</c:v>
                </c:pt>
                <c:pt idx="1859" formatCode="#,##0">
                  <c:v>3350</c:v>
                </c:pt>
                <c:pt idx="1860" formatCode="#,##0">
                  <c:v>3350</c:v>
                </c:pt>
                <c:pt idx="1861" formatCode="#,##0">
                  <c:v>3350</c:v>
                </c:pt>
                <c:pt idx="1862" formatCode="#,##0">
                  <c:v>3350</c:v>
                </c:pt>
                <c:pt idx="1863" formatCode="#,##0">
                  <c:v>3350</c:v>
                </c:pt>
                <c:pt idx="1864" formatCode="#,##0">
                  <c:v>3350</c:v>
                </c:pt>
                <c:pt idx="1865" formatCode="#,##0">
                  <c:v>3350</c:v>
                </c:pt>
                <c:pt idx="1866" formatCode="#,##0">
                  <c:v>3350</c:v>
                </c:pt>
                <c:pt idx="1867" formatCode="#,##0">
                  <c:v>3350</c:v>
                </c:pt>
                <c:pt idx="1868" formatCode="#,##0">
                  <c:v>3350</c:v>
                </c:pt>
                <c:pt idx="1869" formatCode="#,##0">
                  <c:v>3350</c:v>
                </c:pt>
                <c:pt idx="1870" formatCode="#,##0">
                  <c:v>3350</c:v>
                </c:pt>
                <c:pt idx="1871" formatCode="#,##0">
                  <c:v>3350</c:v>
                </c:pt>
                <c:pt idx="1872" formatCode="#,##0">
                  <c:v>3350</c:v>
                </c:pt>
                <c:pt idx="1873" formatCode="#,##0">
                  <c:v>3350</c:v>
                </c:pt>
                <c:pt idx="1874" formatCode="#,##0">
                  <c:v>3350</c:v>
                </c:pt>
                <c:pt idx="1875" formatCode="#,##0">
                  <c:v>3350</c:v>
                </c:pt>
                <c:pt idx="1876" formatCode="#,##0">
                  <c:v>3350</c:v>
                </c:pt>
                <c:pt idx="1877" formatCode="#,##0">
                  <c:v>3350</c:v>
                </c:pt>
                <c:pt idx="1878" formatCode="#,##0">
                  <c:v>3350</c:v>
                </c:pt>
                <c:pt idx="1879" formatCode="#,##0">
                  <c:v>3350</c:v>
                </c:pt>
                <c:pt idx="1880" formatCode="#,##0">
                  <c:v>3350</c:v>
                </c:pt>
                <c:pt idx="1881" formatCode="#,##0">
                  <c:v>3350</c:v>
                </c:pt>
                <c:pt idx="1882" formatCode="#,##0">
                  <c:v>3350</c:v>
                </c:pt>
                <c:pt idx="1883" formatCode="#,##0">
                  <c:v>3650</c:v>
                </c:pt>
                <c:pt idx="1884" formatCode="#,##0">
                  <c:v>3650</c:v>
                </c:pt>
                <c:pt idx="1885" formatCode="#,##0">
                  <c:v>3650</c:v>
                </c:pt>
                <c:pt idx="1886" formatCode="#,##0">
                  <c:v>3650</c:v>
                </c:pt>
                <c:pt idx="1887" formatCode="#,##0">
                  <c:v>3650</c:v>
                </c:pt>
                <c:pt idx="1888" formatCode="#,##0">
                  <c:v>3650</c:v>
                </c:pt>
                <c:pt idx="1889" formatCode="#,##0">
                  <c:v>3650</c:v>
                </c:pt>
                <c:pt idx="1890" formatCode="#,##0">
                  <c:v>3650</c:v>
                </c:pt>
                <c:pt idx="1891" formatCode="#,##0">
                  <c:v>3650</c:v>
                </c:pt>
                <c:pt idx="1892" formatCode="#,##0">
                  <c:v>3650</c:v>
                </c:pt>
                <c:pt idx="1893" formatCode="#,##0">
                  <c:v>3650</c:v>
                </c:pt>
                <c:pt idx="1894" formatCode="#,##0">
                  <c:v>3650</c:v>
                </c:pt>
                <c:pt idx="1895" formatCode="#,##0">
                  <c:v>3650</c:v>
                </c:pt>
                <c:pt idx="1896" formatCode="#,##0">
                  <c:v>3650</c:v>
                </c:pt>
                <c:pt idx="1897" formatCode="#,##0">
                  <c:v>3650</c:v>
                </c:pt>
                <c:pt idx="1898" formatCode="#,##0">
                  <c:v>3650</c:v>
                </c:pt>
                <c:pt idx="1899" formatCode="#,##0">
                  <c:v>3650</c:v>
                </c:pt>
                <c:pt idx="1900" formatCode="#,##0">
                  <c:v>3650</c:v>
                </c:pt>
                <c:pt idx="1901" formatCode="#,##0">
                  <c:v>3650</c:v>
                </c:pt>
                <c:pt idx="1902" formatCode="#,##0">
                  <c:v>3650</c:v>
                </c:pt>
                <c:pt idx="1903" formatCode="#,##0">
                  <c:v>3650</c:v>
                </c:pt>
                <c:pt idx="1904" formatCode="#,##0">
                  <c:v>3650</c:v>
                </c:pt>
                <c:pt idx="1905" formatCode="#,##0">
                  <c:v>3650</c:v>
                </c:pt>
                <c:pt idx="1906" formatCode="#,##0">
                  <c:v>3650</c:v>
                </c:pt>
                <c:pt idx="1907" formatCode="#,##0">
                  <c:v>3650</c:v>
                </c:pt>
                <c:pt idx="1908" formatCode="#,##0">
                  <c:v>3650</c:v>
                </c:pt>
                <c:pt idx="1909" formatCode="#,##0">
                  <c:v>3650</c:v>
                </c:pt>
                <c:pt idx="1910" formatCode="#,##0">
                  <c:v>3650</c:v>
                </c:pt>
                <c:pt idx="1911" formatCode="#,##0">
                  <c:v>3650</c:v>
                </c:pt>
                <c:pt idx="1912" formatCode="#,##0">
                  <c:v>3650</c:v>
                </c:pt>
                <c:pt idx="1913" formatCode="#,##0">
                  <c:v>3650</c:v>
                </c:pt>
                <c:pt idx="1914" formatCode="#,##0">
                  <c:v>3650</c:v>
                </c:pt>
                <c:pt idx="1915" formatCode="#,##0">
                  <c:v>3650</c:v>
                </c:pt>
                <c:pt idx="1916" formatCode="#,##0">
                  <c:v>3650</c:v>
                </c:pt>
                <c:pt idx="1917" formatCode="#,##0">
                  <c:v>3650</c:v>
                </c:pt>
                <c:pt idx="1918" formatCode="#,##0">
                  <c:v>3650</c:v>
                </c:pt>
                <c:pt idx="1919" formatCode="#,##0">
                  <c:v>3650</c:v>
                </c:pt>
                <c:pt idx="1920" formatCode="#,##0">
                  <c:v>3650</c:v>
                </c:pt>
                <c:pt idx="1921" formatCode="#,##0">
                  <c:v>3650</c:v>
                </c:pt>
                <c:pt idx="1922" formatCode="#,##0">
                  <c:v>3650</c:v>
                </c:pt>
                <c:pt idx="1923" formatCode="#,##0">
                  <c:v>3650</c:v>
                </c:pt>
                <c:pt idx="1924" formatCode="#,##0">
                  <c:v>3650</c:v>
                </c:pt>
                <c:pt idx="1925" formatCode="#,##0">
                  <c:v>3650</c:v>
                </c:pt>
                <c:pt idx="1926" formatCode="#,##0">
                  <c:v>3650</c:v>
                </c:pt>
                <c:pt idx="1927" formatCode="#,##0">
                  <c:v>3650</c:v>
                </c:pt>
                <c:pt idx="1928" formatCode="#,##0">
                  <c:v>3650</c:v>
                </c:pt>
                <c:pt idx="1929" formatCode="#,##0">
                  <c:v>3650</c:v>
                </c:pt>
                <c:pt idx="1930" formatCode="#,##0">
                  <c:v>3650</c:v>
                </c:pt>
                <c:pt idx="1931" formatCode="#,##0">
                  <c:v>3650</c:v>
                </c:pt>
                <c:pt idx="1932" formatCode="#,##0">
                  <c:v>3650</c:v>
                </c:pt>
                <c:pt idx="1933" formatCode="#,##0">
                  <c:v>3650</c:v>
                </c:pt>
                <c:pt idx="1934" formatCode="#,##0">
                  <c:v>3650</c:v>
                </c:pt>
                <c:pt idx="1935" formatCode="#,##0">
                  <c:v>3650</c:v>
                </c:pt>
                <c:pt idx="1936" formatCode="#,##0">
                  <c:v>3650</c:v>
                </c:pt>
                <c:pt idx="1937" formatCode="#,##0">
                  <c:v>3650</c:v>
                </c:pt>
                <c:pt idx="1938" formatCode="#,##0">
                  <c:v>3650</c:v>
                </c:pt>
                <c:pt idx="1939" formatCode="#,##0">
                  <c:v>3650</c:v>
                </c:pt>
                <c:pt idx="1940" formatCode="#,##0">
                  <c:v>3650</c:v>
                </c:pt>
                <c:pt idx="1941" formatCode="#,##0">
                  <c:v>3650</c:v>
                </c:pt>
                <c:pt idx="1942" formatCode="#,##0">
                  <c:v>3650</c:v>
                </c:pt>
                <c:pt idx="1943" formatCode="#,##0">
                  <c:v>3650</c:v>
                </c:pt>
                <c:pt idx="1944" formatCode="#,##0">
                  <c:v>3650</c:v>
                </c:pt>
                <c:pt idx="1945" formatCode="#,##0">
                  <c:v>3650</c:v>
                </c:pt>
                <c:pt idx="1946" formatCode="#,##0">
                  <c:v>3650</c:v>
                </c:pt>
                <c:pt idx="1947" formatCode="#,##0">
                  <c:v>3650</c:v>
                </c:pt>
                <c:pt idx="1948" formatCode="#,##0">
                  <c:v>3650</c:v>
                </c:pt>
                <c:pt idx="1949" formatCode="#,##0">
                  <c:v>3650</c:v>
                </c:pt>
                <c:pt idx="1950" formatCode="#,##0">
                  <c:v>3650</c:v>
                </c:pt>
                <c:pt idx="1951" formatCode="#,##0">
                  <c:v>3650</c:v>
                </c:pt>
                <c:pt idx="1952" formatCode="#,##0">
                  <c:v>3650</c:v>
                </c:pt>
                <c:pt idx="1953" formatCode="#,##0">
                  <c:v>3650</c:v>
                </c:pt>
                <c:pt idx="1954" formatCode="#,##0">
                  <c:v>3650</c:v>
                </c:pt>
                <c:pt idx="1955" formatCode="#,##0">
                  <c:v>3650</c:v>
                </c:pt>
                <c:pt idx="1956" formatCode="#,##0">
                  <c:v>3650</c:v>
                </c:pt>
                <c:pt idx="1957" formatCode="#,##0">
                  <c:v>3650</c:v>
                </c:pt>
                <c:pt idx="1958" formatCode="#,##0">
                  <c:v>3650</c:v>
                </c:pt>
                <c:pt idx="1959" formatCode="#,##0">
                  <c:v>3650</c:v>
                </c:pt>
                <c:pt idx="1960" formatCode="#,##0">
                  <c:v>3650</c:v>
                </c:pt>
                <c:pt idx="1961" formatCode="#,##0">
                  <c:v>3650</c:v>
                </c:pt>
                <c:pt idx="1962" formatCode="#,##0">
                  <c:v>3650</c:v>
                </c:pt>
                <c:pt idx="1963" formatCode="#,##0">
                  <c:v>3650</c:v>
                </c:pt>
                <c:pt idx="1964" formatCode="#,##0">
                  <c:v>3650</c:v>
                </c:pt>
                <c:pt idx="1965" formatCode="#,##0">
                  <c:v>3650</c:v>
                </c:pt>
                <c:pt idx="1966" formatCode="#,##0">
                  <c:v>3650</c:v>
                </c:pt>
                <c:pt idx="1967" formatCode="#,##0">
                  <c:v>3650</c:v>
                </c:pt>
                <c:pt idx="1968" formatCode="#,##0">
                  <c:v>3650</c:v>
                </c:pt>
                <c:pt idx="1969" formatCode="#,##0">
                  <c:v>3650</c:v>
                </c:pt>
                <c:pt idx="1970" formatCode="#,##0">
                  <c:v>3650</c:v>
                </c:pt>
                <c:pt idx="1971" formatCode="#,##0">
                  <c:v>3650</c:v>
                </c:pt>
                <c:pt idx="1972" formatCode="#,##0">
                  <c:v>3650</c:v>
                </c:pt>
                <c:pt idx="1973" formatCode="#,##0">
                  <c:v>3650</c:v>
                </c:pt>
                <c:pt idx="1974" formatCode="#,##0">
                  <c:v>3650</c:v>
                </c:pt>
                <c:pt idx="1975" formatCode="#,##0">
                  <c:v>3650</c:v>
                </c:pt>
                <c:pt idx="1976" formatCode="#,##0">
                  <c:v>3650</c:v>
                </c:pt>
                <c:pt idx="1977" formatCode="#,##0">
                  <c:v>3650</c:v>
                </c:pt>
                <c:pt idx="1978" formatCode="#,##0">
                  <c:v>3650</c:v>
                </c:pt>
                <c:pt idx="1979" formatCode="#,##0">
                  <c:v>3650</c:v>
                </c:pt>
                <c:pt idx="1980" formatCode="#,##0">
                  <c:v>3650</c:v>
                </c:pt>
                <c:pt idx="1981" formatCode="#,##0">
                  <c:v>3650</c:v>
                </c:pt>
                <c:pt idx="1982" formatCode="#,##0">
                  <c:v>3650</c:v>
                </c:pt>
                <c:pt idx="1983" formatCode="#,##0">
                  <c:v>3650</c:v>
                </c:pt>
                <c:pt idx="1984" formatCode="#,##0">
                  <c:v>3650</c:v>
                </c:pt>
                <c:pt idx="1985" formatCode="#,##0">
                  <c:v>3650</c:v>
                </c:pt>
                <c:pt idx="1986" formatCode="#,##0">
                  <c:v>3650</c:v>
                </c:pt>
                <c:pt idx="1987" formatCode="#,##0">
                  <c:v>3650</c:v>
                </c:pt>
                <c:pt idx="1988" formatCode="#,##0">
                  <c:v>3650</c:v>
                </c:pt>
                <c:pt idx="1989" formatCode="#,##0">
                  <c:v>3650</c:v>
                </c:pt>
                <c:pt idx="1990" formatCode="#,##0">
                  <c:v>3650</c:v>
                </c:pt>
                <c:pt idx="1991" formatCode="#,##0">
                  <c:v>3650</c:v>
                </c:pt>
                <c:pt idx="1992" formatCode="#,##0">
                  <c:v>3650</c:v>
                </c:pt>
                <c:pt idx="1993" formatCode="#,##0">
                  <c:v>3650</c:v>
                </c:pt>
                <c:pt idx="1994" formatCode="#,##0">
                  <c:v>3650</c:v>
                </c:pt>
                <c:pt idx="1995" formatCode="#,##0">
                  <c:v>3650</c:v>
                </c:pt>
                <c:pt idx="1996" formatCode="#,##0">
                  <c:v>3650</c:v>
                </c:pt>
                <c:pt idx="1997" formatCode="#,##0">
                  <c:v>3650</c:v>
                </c:pt>
                <c:pt idx="1998" formatCode="#,##0">
                  <c:v>3650</c:v>
                </c:pt>
                <c:pt idx="1999" formatCode="#,##0">
                  <c:v>3650</c:v>
                </c:pt>
                <c:pt idx="2000" formatCode="#,##0">
                  <c:v>3650</c:v>
                </c:pt>
                <c:pt idx="2001" formatCode="#,##0">
                  <c:v>3650</c:v>
                </c:pt>
                <c:pt idx="2002" formatCode="#,##0">
                  <c:v>3650</c:v>
                </c:pt>
                <c:pt idx="2003" formatCode="#,##0">
                  <c:v>3650</c:v>
                </c:pt>
                <c:pt idx="2004" formatCode="#,##0">
                  <c:v>3650</c:v>
                </c:pt>
                <c:pt idx="2005" formatCode="#,##0">
                  <c:v>3650</c:v>
                </c:pt>
                <c:pt idx="2006" formatCode="#,##0">
                  <c:v>3650</c:v>
                </c:pt>
                <c:pt idx="2007" formatCode="#,##0">
                  <c:v>3650</c:v>
                </c:pt>
                <c:pt idx="2008" formatCode="#,##0">
                  <c:v>3650</c:v>
                </c:pt>
                <c:pt idx="2009" formatCode="#,##0">
                  <c:v>3650</c:v>
                </c:pt>
                <c:pt idx="2010" formatCode="#,##0">
                  <c:v>3650</c:v>
                </c:pt>
                <c:pt idx="2011" formatCode="#,##0">
                  <c:v>3650</c:v>
                </c:pt>
                <c:pt idx="2012" formatCode="#,##0">
                  <c:v>3650</c:v>
                </c:pt>
                <c:pt idx="2013" formatCode="#,##0">
                  <c:v>3650</c:v>
                </c:pt>
                <c:pt idx="2014" formatCode="#,##0">
                  <c:v>3650</c:v>
                </c:pt>
                <c:pt idx="2015" formatCode="#,##0">
                  <c:v>3650</c:v>
                </c:pt>
                <c:pt idx="2016" formatCode="#,##0">
                  <c:v>3650</c:v>
                </c:pt>
                <c:pt idx="2017" formatCode="#,##0">
                  <c:v>3650</c:v>
                </c:pt>
                <c:pt idx="2018" formatCode="#,##0">
                  <c:v>3650</c:v>
                </c:pt>
                <c:pt idx="2019" formatCode="#,##0">
                  <c:v>3650</c:v>
                </c:pt>
                <c:pt idx="2020" formatCode="#,##0">
                  <c:v>3650</c:v>
                </c:pt>
                <c:pt idx="2021" formatCode="#,##0">
                  <c:v>3650</c:v>
                </c:pt>
                <c:pt idx="2022" formatCode="#,##0">
                  <c:v>3650</c:v>
                </c:pt>
                <c:pt idx="2023" formatCode="#,##0">
                  <c:v>3650</c:v>
                </c:pt>
                <c:pt idx="2024" formatCode="#,##0">
                  <c:v>3650</c:v>
                </c:pt>
                <c:pt idx="2025" formatCode="#,##0">
                  <c:v>3650</c:v>
                </c:pt>
                <c:pt idx="2026" formatCode="#,##0">
                  <c:v>3650</c:v>
                </c:pt>
                <c:pt idx="2027" formatCode="#,##0">
                  <c:v>3650</c:v>
                </c:pt>
                <c:pt idx="2028" formatCode="#,##0">
                  <c:v>3650</c:v>
                </c:pt>
                <c:pt idx="2029" formatCode="#,##0">
                  <c:v>3650</c:v>
                </c:pt>
                <c:pt idx="2030" formatCode="#,##0">
                  <c:v>3650</c:v>
                </c:pt>
                <c:pt idx="2031" formatCode="#,##0">
                  <c:v>3650</c:v>
                </c:pt>
                <c:pt idx="2032" formatCode="#,##0">
                  <c:v>3650</c:v>
                </c:pt>
                <c:pt idx="2033" formatCode="#,##0">
                  <c:v>3650</c:v>
                </c:pt>
                <c:pt idx="2034" formatCode="#,##0">
                  <c:v>3650</c:v>
                </c:pt>
                <c:pt idx="2035" formatCode="#,##0">
                  <c:v>3650</c:v>
                </c:pt>
                <c:pt idx="2036" formatCode="#,##0">
                  <c:v>3650</c:v>
                </c:pt>
                <c:pt idx="2037" formatCode="#,##0">
                  <c:v>3650</c:v>
                </c:pt>
                <c:pt idx="2038" formatCode="#,##0">
                  <c:v>3650</c:v>
                </c:pt>
                <c:pt idx="2039" formatCode="#,##0">
                  <c:v>3650</c:v>
                </c:pt>
                <c:pt idx="2040" formatCode="#,##0">
                  <c:v>3650</c:v>
                </c:pt>
                <c:pt idx="2041" formatCode="#,##0">
                  <c:v>3650</c:v>
                </c:pt>
                <c:pt idx="2042" formatCode="#,##0">
                  <c:v>3650</c:v>
                </c:pt>
                <c:pt idx="2043" formatCode="#,##0">
                  <c:v>3650</c:v>
                </c:pt>
                <c:pt idx="2044" formatCode="#,##0">
                  <c:v>3650</c:v>
                </c:pt>
                <c:pt idx="2045" formatCode="#,##0">
                  <c:v>3650</c:v>
                </c:pt>
                <c:pt idx="2046" formatCode="#,##0">
                  <c:v>3650</c:v>
                </c:pt>
                <c:pt idx="2047" formatCode="#,##0">
                  <c:v>3650</c:v>
                </c:pt>
                <c:pt idx="2048" formatCode="#,##0">
                  <c:v>3950</c:v>
                </c:pt>
                <c:pt idx="2049" formatCode="#,##0">
                  <c:v>3950</c:v>
                </c:pt>
                <c:pt idx="2050" formatCode="#,##0">
                  <c:v>3950</c:v>
                </c:pt>
                <c:pt idx="2051" formatCode="#,##0">
                  <c:v>3950</c:v>
                </c:pt>
                <c:pt idx="2052" formatCode="#,##0">
                  <c:v>3950</c:v>
                </c:pt>
                <c:pt idx="2053" formatCode="#,##0">
                  <c:v>3950</c:v>
                </c:pt>
                <c:pt idx="2054" formatCode="#,##0">
                  <c:v>3950</c:v>
                </c:pt>
                <c:pt idx="2055" formatCode="#,##0">
                  <c:v>3950</c:v>
                </c:pt>
                <c:pt idx="2056" formatCode="#,##0">
                  <c:v>3950</c:v>
                </c:pt>
                <c:pt idx="2057" formatCode="#,##0">
                  <c:v>3950</c:v>
                </c:pt>
                <c:pt idx="2058" formatCode="#,##0">
                  <c:v>3950</c:v>
                </c:pt>
                <c:pt idx="2059" formatCode="#,##0">
                  <c:v>3950</c:v>
                </c:pt>
                <c:pt idx="2060" formatCode="#,##0">
                  <c:v>3950</c:v>
                </c:pt>
                <c:pt idx="2061" formatCode="#,##0">
                  <c:v>3950</c:v>
                </c:pt>
                <c:pt idx="2062" formatCode="#,##0">
                  <c:v>3950</c:v>
                </c:pt>
                <c:pt idx="2063" formatCode="#,##0">
                  <c:v>3950</c:v>
                </c:pt>
                <c:pt idx="2064" formatCode="#,##0">
                  <c:v>3950</c:v>
                </c:pt>
                <c:pt idx="2065" formatCode="#,##0">
                  <c:v>3950</c:v>
                </c:pt>
                <c:pt idx="2066" formatCode="#,##0">
                  <c:v>3950</c:v>
                </c:pt>
                <c:pt idx="2067" formatCode="#,##0">
                  <c:v>3950</c:v>
                </c:pt>
                <c:pt idx="2068" formatCode="#,##0">
                  <c:v>3950</c:v>
                </c:pt>
                <c:pt idx="2069" formatCode="#,##0">
                  <c:v>3950</c:v>
                </c:pt>
                <c:pt idx="2070" formatCode="#,##0">
                  <c:v>3950</c:v>
                </c:pt>
                <c:pt idx="2071" formatCode="#,##0">
                  <c:v>3950</c:v>
                </c:pt>
                <c:pt idx="2072" formatCode="#,##0">
                  <c:v>3950</c:v>
                </c:pt>
                <c:pt idx="2073" formatCode="#,##0">
                  <c:v>3950</c:v>
                </c:pt>
                <c:pt idx="2074" formatCode="#,##0">
                  <c:v>3950</c:v>
                </c:pt>
                <c:pt idx="2075" formatCode="#,##0">
                  <c:v>3950</c:v>
                </c:pt>
                <c:pt idx="2076" formatCode="#,##0">
                  <c:v>3950</c:v>
                </c:pt>
                <c:pt idx="2077" formatCode="#,##0">
                  <c:v>3950</c:v>
                </c:pt>
                <c:pt idx="2078" formatCode="#,##0">
                  <c:v>3950</c:v>
                </c:pt>
                <c:pt idx="2079" formatCode="#,##0">
                  <c:v>3950</c:v>
                </c:pt>
                <c:pt idx="2080" formatCode="#,##0">
                  <c:v>3950</c:v>
                </c:pt>
                <c:pt idx="2081" formatCode="#,##0">
                  <c:v>3950</c:v>
                </c:pt>
                <c:pt idx="2082" formatCode="#,##0">
                  <c:v>3950</c:v>
                </c:pt>
                <c:pt idx="2083" formatCode="#,##0">
                  <c:v>3950</c:v>
                </c:pt>
                <c:pt idx="2084" formatCode="#,##0">
                  <c:v>3950</c:v>
                </c:pt>
                <c:pt idx="2085" formatCode="#,##0">
                  <c:v>3950</c:v>
                </c:pt>
                <c:pt idx="2086" formatCode="#,##0">
                  <c:v>3950</c:v>
                </c:pt>
                <c:pt idx="2087" formatCode="#,##0">
                  <c:v>3950</c:v>
                </c:pt>
                <c:pt idx="2088" formatCode="#,##0">
                  <c:v>3950</c:v>
                </c:pt>
                <c:pt idx="2089" formatCode="#,##0">
                  <c:v>3950</c:v>
                </c:pt>
                <c:pt idx="2090" formatCode="#,##0">
                  <c:v>3950</c:v>
                </c:pt>
                <c:pt idx="2091" formatCode="#,##0">
                  <c:v>3950</c:v>
                </c:pt>
                <c:pt idx="2092" formatCode="#,##0">
                  <c:v>3950</c:v>
                </c:pt>
                <c:pt idx="2093" formatCode="#,##0">
                  <c:v>3950</c:v>
                </c:pt>
                <c:pt idx="2094" formatCode="#,##0">
                  <c:v>3950</c:v>
                </c:pt>
                <c:pt idx="2095" formatCode="#,##0">
                  <c:v>3950</c:v>
                </c:pt>
                <c:pt idx="2096" formatCode="#,##0">
                  <c:v>3950</c:v>
                </c:pt>
                <c:pt idx="2097" formatCode="#,##0">
                  <c:v>3950</c:v>
                </c:pt>
                <c:pt idx="2098" formatCode="#,##0">
                  <c:v>3950</c:v>
                </c:pt>
                <c:pt idx="2099" formatCode="#,##0">
                  <c:v>3950</c:v>
                </c:pt>
                <c:pt idx="2100" formatCode="#,##0">
                  <c:v>3950</c:v>
                </c:pt>
                <c:pt idx="2101" formatCode="#,##0">
                  <c:v>3950</c:v>
                </c:pt>
                <c:pt idx="2102" formatCode="#,##0">
                  <c:v>3950</c:v>
                </c:pt>
                <c:pt idx="2103" formatCode="#,##0">
                  <c:v>3950</c:v>
                </c:pt>
                <c:pt idx="2104" formatCode="#,##0">
                  <c:v>3950</c:v>
                </c:pt>
                <c:pt idx="2105" formatCode="#,##0">
                  <c:v>3950</c:v>
                </c:pt>
                <c:pt idx="2106" formatCode="#,##0">
                  <c:v>3950</c:v>
                </c:pt>
                <c:pt idx="2107" formatCode="#,##0">
                  <c:v>3950</c:v>
                </c:pt>
                <c:pt idx="2108" formatCode="#,##0">
                  <c:v>3950</c:v>
                </c:pt>
                <c:pt idx="2109" formatCode="#,##0">
                  <c:v>3950</c:v>
                </c:pt>
                <c:pt idx="2110" formatCode="#,##0">
                  <c:v>3950</c:v>
                </c:pt>
                <c:pt idx="2111" formatCode="#,##0">
                  <c:v>3950</c:v>
                </c:pt>
                <c:pt idx="2112" formatCode="#,##0">
                  <c:v>3950</c:v>
                </c:pt>
                <c:pt idx="2113" formatCode="#,##0">
                  <c:v>3950</c:v>
                </c:pt>
                <c:pt idx="2114" formatCode="#,##0">
                  <c:v>3950</c:v>
                </c:pt>
                <c:pt idx="2115" formatCode="#,##0">
                  <c:v>3950</c:v>
                </c:pt>
                <c:pt idx="2116" formatCode="#,##0">
                  <c:v>3950</c:v>
                </c:pt>
                <c:pt idx="2117" formatCode="#,##0">
                  <c:v>3950</c:v>
                </c:pt>
                <c:pt idx="2118" formatCode="#,##0">
                  <c:v>3950</c:v>
                </c:pt>
                <c:pt idx="2119" formatCode="#,##0">
                  <c:v>3950</c:v>
                </c:pt>
                <c:pt idx="2120" formatCode="#,##0">
                  <c:v>3950</c:v>
                </c:pt>
                <c:pt idx="2121" formatCode="#,##0">
                  <c:v>3950</c:v>
                </c:pt>
                <c:pt idx="2122" formatCode="#,##0">
                  <c:v>3950</c:v>
                </c:pt>
                <c:pt idx="2123" formatCode="#,##0">
                  <c:v>3950</c:v>
                </c:pt>
                <c:pt idx="2124" formatCode="#,##0">
                  <c:v>3950</c:v>
                </c:pt>
                <c:pt idx="2125" formatCode="#,##0">
                  <c:v>3950</c:v>
                </c:pt>
                <c:pt idx="2126" formatCode="#,##0">
                  <c:v>3950</c:v>
                </c:pt>
                <c:pt idx="2127" formatCode="#,##0">
                  <c:v>3950</c:v>
                </c:pt>
                <c:pt idx="2128" formatCode="#,##0">
                  <c:v>3950</c:v>
                </c:pt>
                <c:pt idx="2129" formatCode="#,##0">
                  <c:v>3950</c:v>
                </c:pt>
                <c:pt idx="2130" formatCode="#,##0">
                  <c:v>3950</c:v>
                </c:pt>
                <c:pt idx="2131" formatCode="#,##0">
                  <c:v>3950</c:v>
                </c:pt>
                <c:pt idx="2132" formatCode="#,##0">
                  <c:v>3950</c:v>
                </c:pt>
                <c:pt idx="2133" formatCode="#,##0">
                  <c:v>3950</c:v>
                </c:pt>
                <c:pt idx="2134" formatCode="#,##0">
                  <c:v>3950</c:v>
                </c:pt>
                <c:pt idx="2135" formatCode="#,##0">
                  <c:v>3950</c:v>
                </c:pt>
                <c:pt idx="2136" formatCode="#,##0">
                  <c:v>3950</c:v>
                </c:pt>
                <c:pt idx="2137" formatCode="#,##0">
                  <c:v>3950</c:v>
                </c:pt>
                <c:pt idx="2138" formatCode="#,##0">
                  <c:v>3950</c:v>
                </c:pt>
                <c:pt idx="2139" formatCode="#,##0">
                  <c:v>3950</c:v>
                </c:pt>
                <c:pt idx="2140" formatCode="#,##0">
                  <c:v>3950</c:v>
                </c:pt>
                <c:pt idx="2141" formatCode="#,##0">
                  <c:v>3950</c:v>
                </c:pt>
                <c:pt idx="2142" formatCode="#,##0">
                  <c:v>3950</c:v>
                </c:pt>
                <c:pt idx="2143" formatCode="#,##0">
                  <c:v>3950</c:v>
                </c:pt>
                <c:pt idx="2144" formatCode="#,##0">
                  <c:v>3950</c:v>
                </c:pt>
                <c:pt idx="2145" formatCode="#,##0">
                  <c:v>3950</c:v>
                </c:pt>
                <c:pt idx="2146" formatCode="#,##0">
                  <c:v>3950</c:v>
                </c:pt>
                <c:pt idx="2147" formatCode="#,##0">
                  <c:v>3950</c:v>
                </c:pt>
                <c:pt idx="2148" formatCode="#,##0">
                  <c:v>3950</c:v>
                </c:pt>
                <c:pt idx="2149" formatCode="#,##0">
                  <c:v>3950</c:v>
                </c:pt>
                <c:pt idx="2150" formatCode="#,##0">
                  <c:v>3950</c:v>
                </c:pt>
                <c:pt idx="2151" formatCode="#,##0">
                  <c:v>3950</c:v>
                </c:pt>
                <c:pt idx="2152" formatCode="#,##0">
                  <c:v>3950</c:v>
                </c:pt>
                <c:pt idx="2153" formatCode="#,##0">
                  <c:v>3950</c:v>
                </c:pt>
                <c:pt idx="2154" formatCode="#,##0">
                  <c:v>3950</c:v>
                </c:pt>
                <c:pt idx="2155" formatCode="#,##0">
                  <c:v>3950</c:v>
                </c:pt>
                <c:pt idx="2156" formatCode="#,##0">
                  <c:v>3950</c:v>
                </c:pt>
                <c:pt idx="2157" formatCode="#,##0">
                  <c:v>3950</c:v>
                </c:pt>
                <c:pt idx="2158" formatCode="#,##0">
                  <c:v>3950</c:v>
                </c:pt>
                <c:pt idx="2159" formatCode="#,##0">
                  <c:v>3950</c:v>
                </c:pt>
                <c:pt idx="2160" formatCode="#,##0">
                  <c:v>3950</c:v>
                </c:pt>
                <c:pt idx="2161" formatCode="#,##0">
                  <c:v>3950</c:v>
                </c:pt>
                <c:pt idx="2162" formatCode="#,##0">
                  <c:v>3950</c:v>
                </c:pt>
                <c:pt idx="2163" formatCode="#,##0">
                  <c:v>3950</c:v>
                </c:pt>
                <c:pt idx="2164" formatCode="#,##0">
                  <c:v>3950</c:v>
                </c:pt>
                <c:pt idx="2165" formatCode="#,##0">
                  <c:v>3950</c:v>
                </c:pt>
                <c:pt idx="2166" formatCode="#,##0">
                  <c:v>3950</c:v>
                </c:pt>
                <c:pt idx="2167" formatCode="#,##0">
                  <c:v>3950</c:v>
                </c:pt>
                <c:pt idx="2168" formatCode="#,##0">
                  <c:v>3950</c:v>
                </c:pt>
                <c:pt idx="2169" formatCode="#,##0">
                  <c:v>3950</c:v>
                </c:pt>
                <c:pt idx="2170" formatCode="#,##0">
                  <c:v>3950</c:v>
                </c:pt>
                <c:pt idx="2171" formatCode="#,##0">
                  <c:v>3950</c:v>
                </c:pt>
                <c:pt idx="2172" formatCode="#,##0">
                  <c:v>3950</c:v>
                </c:pt>
                <c:pt idx="2173" formatCode="#,##0">
                  <c:v>3950</c:v>
                </c:pt>
                <c:pt idx="2174" formatCode="#,##0">
                  <c:v>3950</c:v>
                </c:pt>
                <c:pt idx="2175" formatCode="#,##0">
                  <c:v>3950</c:v>
                </c:pt>
                <c:pt idx="2176" formatCode="#,##0">
                  <c:v>3950</c:v>
                </c:pt>
                <c:pt idx="2177" formatCode="#,##0">
                  <c:v>3950</c:v>
                </c:pt>
                <c:pt idx="2178" formatCode="#,##0">
                  <c:v>3950</c:v>
                </c:pt>
                <c:pt idx="2179" formatCode="#,##0">
                  <c:v>3950</c:v>
                </c:pt>
                <c:pt idx="2180" formatCode="#,##0">
                  <c:v>3950</c:v>
                </c:pt>
                <c:pt idx="2181" formatCode="#,##0">
                  <c:v>3950</c:v>
                </c:pt>
                <c:pt idx="2182" formatCode="#,##0">
                  <c:v>3950</c:v>
                </c:pt>
                <c:pt idx="2183" formatCode="#,##0">
                  <c:v>3950</c:v>
                </c:pt>
                <c:pt idx="2184" formatCode="#,##0">
                  <c:v>3950</c:v>
                </c:pt>
                <c:pt idx="2185" formatCode="#,##0">
                  <c:v>3950</c:v>
                </c:pt>
                <c:pt idx="2186" formatCode="#,##0">
                  <c:v>3950</c:v>
                </c:pt>
                <c:pt idx="2187" formatCode="#,##0">
                  <c:v>3950</c:v>
                </c:pt>
                <c:pt idx="2188" formatCode="#,##0">
                  <c:v>3950</c:v>
                </c:pt>
                <c:pt idx="2189" formatCode="#,##0">
                  <c:v>3950</c:v>
                </c:pt>
                <c:pt idx="2190" formatCode="#,##0">
                  <c:v>3950</c:v>
                </c:pt>
                <c:pt idx="2191" formatCode="#,##0">
                  <c:v>3950</c:v>
                </c:pt>
                <c:pt idx="2192" formatCode="#,##0">
                  <c:v>3950</c:v>
                </c:pt>
                <c:pt idx="2193" formatCode="#,##0">
                  <c:v>3950</c:v>
                </c:pt>
                <c:pt idx="2194" formatCode="#,##0">
                  <c:v>3950</c:v>
                </c:pt>
                <c:pt idx="2195" formatCode="#,##0">
                  <c:v>3950</c:v>
                </c:pt>
                <c:pt idx="2196" formatCode="#,##0">
                  <c:v>3950</c:v>
                </c:pt>
                <c:pt idx="2197" formatCode="#,##0">
                  <c:v>3950</c:v>
                </c:pt>
                <c:pt idx="2198" formatCode="#,##0">
                  <c:v>3950</c:v>
                </c:pt>
                <c:pt idx="2199" formatCode="#,##0">
                  <c:v>3950</c:v>
                </c:pt>
                <c:pt idx="2200" formatCode="#,##0">
                  <c:v>3950</c:v>
                </c:pt>
                <c:pt idx="2201" formatCode="#,##0">
                  <c:v>3950</c:v>
                </c:pt>
                <c:pt idx="2202" formatCode="#,##0">
                  <c:v>3950</c:v>
                </c:pt>
                <c:pt idx="2203" formatCode="#,##0">
                  <c:v>3950</c:v>
                </c:pt>
                <c:pt idx="2204" formatCode="#,##0">
                  <c:v>3950</c:v>
                </c:pt>
                <c:pt idx="2205" formatCode="#,##0">
                  <c:v>3950</c:v>
                </c:pt>
                <c:pt idx="2206" formatCode="#,##0">
                  <c:v>3950</c:v>
                </c:pt>
                <c:pt idx="2207" formatCode="#,##0">
                  <c:v>3950</c:v>
                </c:pt>
                <c:pt idx="2208" formatCode="#,##0">
                  <c:v>3950</c:v>
                </c:pt>
                <c:pt idx="2209" formatCode="#,##0">
                  <c:v>3950</c:v>
                </c:pt>
                <c:pt idx="2210" formatCode="#,##0">
                  <c:v>3950</c:v>
                </c:pt>
                <c:pt idx="2211" formatCode="#,##0">
                  <c:v>3950</c:v>
                </c:pt>
                <c:pt idx="2212" formatCode="#,##0">
                  <c:v>3950</c:v>
                </c:pt>
                <c:pt idx="2213" formatCode="#,##0">
                  <c:v>3950</c:v>
                </c:pt>
                <c:pt idx="2214" formatCode="#,##0">
                  <c:v>4250</c:v>
                </c:pt>
                <c:pt idx="2215" formatCode="#,##0">
                  <c:v>4250</c:v>
                </c:pt>
                <c:pt idx="2216" formatCode="#,##0">
                  <c:v>4250</c:v>
                </c:pt>
                <c:pt idx="2217" formatCode="#,##0">
                  <c:v>4250</c:v>
                </c:pt>
                <c:pt idx="2218" formatCode="#,##0">
                  <c:v>4250</c:v>
                </c:pt>
                <c:pt idx="2219" formatCode="#,##0">
                  <c:v>4250</c:v>
                </c:pt>
                <c:pt idx="2220" formatCode="#,##0">
                  <c:v>4250</c:v>
                </c:pt>
                <c:pt idx="2221" formatCode="#,##0">
                  <c:v>4250</c:v>
                </c:pt>
                <c:pt idx="2222" formatCode="#,##0">
                  <c:v>4250</c:v>
                </c:pt>
                <c:pt idx="2223" formatCode="#,##0">
                  <c:v>4250</c:v>
                </c:pt>
                <c:pt idx="2224" formatCode="#,##0">
                  <c:v>4250</c:v>
                </c:pt>
                <c:pt idx="2225" formatCode="#,##0">
                  <c:v>4250</c:v>
                </c:pt>
                <c:pt idx="2226" formatCode="#,##0">
                  <c:v>4250</c:v>
                </c:pt>
                <c:pt idx="2227" formatCode="#,##0">
                  <c:v>4250</c:v>
                </c:pt>
                <c:pt idx="2228" formatCode="#,##0">
                  <c:v>4250</c:v>
                </c:pt>
                <c:pt idx="2229" formatCode="#,##0">
                  <c:v>4250</c:v>
                </c:pt>
                <c:pt idx="2230" formatCode="#,##0">
                  <c:v>4250</c:v>
                </c:pt>
                <c:pt idx="2231" formatCode="#,##0">
                  <c:v>4250</c:v>
                </c:pt>
                <c:pt idx="2232" formatCode="#,##0">
                  <c:v>4250</c:v>
                </c:pt>
                <c:pt idx="2233" formatCode="#,##0">
                  <c:v>4250</c:v>
                </c:pt>
                <c:pt idx="2234" formatCode="#,##0">
                  <c:v>4250</c:v>
                </c:pt>
                <c:pt idx="2235" formatCode="#,##0">
                  <c:v>4250</c:v>
                </c:pt>
                <c:pt idx="2236" formatCode="#,##0">
                  <c:v>4250</c:v>
                </c:pt>
                <c:pt idx="2237" formatCode="#,##0">
                  <c:v>4250</c:v>
                </c:pt>
                <c:pt idx="2238" formatCode="#,##0">
                  <c:v>4250</c:v>
                </c:pt>
                <c:pt idx="2239" formatCode="#,##0">
                  <c:v>4250</c:v>
                </c:pt>
                <c:pt idx="2240" formatCode="#,##0">
                  <c:v>4250</c:v>
                </c:pt>
                <c:pt idx="2241" formatCode="#,##0">
                  <c:v>4250</c:v>
                </c:pt>
                <c:pt idx="2242" formatCode="#,##0">
                  <c:v>4250</c:v>
                </c:pt>
                <c:pt idx="2243" formatCode="#,##0">
                  <c:v>4250</c:v>
                </c:pt>
                <c:pt idx="2244" formatCode="#,##0">
                  <c:v>4250</c:v>
                </c:pt>
                <c:pt idx="2245" formatCode="#,##0">
                  <c:v>4250</c:v>
                </c:pt>
                <c:pt idx="2246" formatCode="#,##0">
                  <c:v>4250</c:v>
                </c:pt>
                <c:pt idx="2247" formatCode="#,##0">
                  <c:v>4250</c:v>
                </c:pt>
                <c:pt idx="2248" formatCode="#,##0">
                  <c:v>4250</c:v>
                </c:pt>
                <c:pt idx="2249" formatCode="#,##0">
                  <c:v>4250</c:v>
                </c:pt>
                <c:pt idx="2250" formatCode="#,##0">
                  <c:v>4250</c:v>
                </c:pt>
                <c:pt idx="2251" formatCode="#,##0">
                  <c:v>4250</c:v>
                </c:pt>
                <c:pt idx="2252" formatCode="#,##0">
                  <c:v>4250</c:v>
                </c:pt>
                <c:pt idx="2253" formatCode="#,##0">
                  <c:v>4250</c:v>
                </c:pt>
                <c:pt idx="2254" formatCode="#,##0">
                  <c:v>4250</c:v>
                </c:pt>
                <c:pt idx="2255" formatCode="#,##0">
                  <c:v>4250</c:v>
                </c:pt>
                <c:pt idx="2256" formatCode="#,##0">
                  <c:v>4250</c:v>
                </c:pt>
                <c:pt idx="2257" formatCode="#,##0">
                  <c:v>4250</c:v>
                </c:pt>
                <c:pt idx="2258" formatCode="#,##0">
                  <c:v>4250</c:v>
                </c:pt>
                <c:pt idx="2259" formatCode="#,##0">
                  <c:v>4250</c:v>
                </c:pt>
                <c:pt idx="2260" formatCode="#,##0">
                  <c:v>4250</c:v>
                </c:pt>
                <c:pt idx="2261" formatCode="#,##0">
                  <c:v>4250</c:v>
                </c:pt>
                <c:pt idx="2262" formatCode="#,##0">
                  <c:v>4250</c:v>
                </c:pt>
                <c:pt idx="2263" formatCode="#,##0">
                  <c:v>4250</c:v>
                </c:pt>
                <c:pt idx="2264" formatCode="#,##0">
                  <c:v>4250</c:v>
                </c:pt>
                <c:pt idx="2265" formatCode="#,##0">
                  <c:v>4250</c:v>
                </c:pt>
                <c:pt idx="2266" formatCode="#,##0">
                  <c:v>4250</c:v>
                </c:pt>
                <c:pt idx="2267" formatCode="#,##0">
                  <c:v>4250</c:v>
                </c:pt>
                <c:pt idx="2268" formatCode="#,##0">
                  <c:v>4250</c:v>
                </c:pt>
                <c:pt idx="2269" formatCode="#,##0">
                  <c:v>4250</c:v>
                </c:pt>
                <c:pt idx="2270" formatCode="#,##0">
                  <c:v>4250</c:v>
                </c:pt>
                <c:pt idx="2271" formatCode="#,##0">
                  <c:v>4250</c:v>
                </c:pt>
                <c:pt idx="2272" formatCode="#,##0">
                  <c:v>4250</c:v>
                </c:pt>
                <c:pt idx="2273" formatCode="#,##0">
                  <c:v>4250</c:v>
                </c:pt>
                <c:pt idx="2274" formatCode="#,##0">
                  <c:v>4250</c:v>
                </c:pt>
                <c:pt idx="2275" formatCode="#,##0">
                  <c:v>4250</c:v>
                </c:pt>
                <c:pt idx="2276" formatCode="#,##0">
                  <c:v>4250</c:v>
                </c:pt>
                <c:pt idx="2277" formatCode="#,##0">
                  <c:v>4250</c:v>
                </c:pt>
                <c:pt idx="2278" formatCode="#,##0">
                  <c:v>4250</c:v>
                </c:pt>
                <c:pt idx="2279" formatCode="#,##0">
                  <c:v>4250</c:v>
                </c:pt>
                <c:pt idx="2280" formatCode="#,##0">
                  <c:v>4250</c:v>
                </c:pt>
                <c:pt idx="2281" formatCode="#,##0">
                  <c:v>4250</c:v>
                </c:pt>
                <c:pt idx="2282" formatCode="#,##0">
                  <c:v>4250</c:v>
                </c:pt>
                <c:pt idx="2283" formatCode="#,##0">
                  <c:v>4250</c:v>
                </c:pt>
                <c:pt idx="2284" formatCode="#,##0">
                  <c:v>4250</c:v>
                </c:pt>
                <c:pt idx="2285" formatCode="#,##0">
                  <c:v>4250</c:v>
                </c:pt>
                <c:pt idx="2286" formatCode="#,##0">
                  <c:v>4250</c:v>
                </c:pt>
                <c:pt idx="2287" formatCode="#,##0">
                  <c:v>4250</c:v>
                </c:pt>
                <c:pt idx="2288" formatCode="#,##0">
                  <c:v>4250</c:v>
                </c:pt>
                <c:pt idx="2289" formatCode="#,##0">
                  <c:v>4250</c:v>
                </c:pt>
                <c:pt idx="2290" formatCode="#,##0">
                  <c:v>4250</c:v>
                </c:pt>
                <c:pt idx="2291" formatCode="#,##0">
                  <c:v>4250</c:v>
                </c:pt>
                <c:pt idx="2292" formatCode="#,##0">
                  <c:v>4250</c:v>
                </c:pt>
                <c:pt idx="2293" formatCode="#,##0">
                  <c:v>4250</c:v>
                </c:pt>
                <c:pt idx="2294" formatCode="#,##0">
                  <c:v>4250</c:v>
                </c:pt>
                <c:pt idx="2295" formatCode="#,##0">
                  <c:v>4250</c:v>
                </c:pt>
                <c:pt idx="2296" formatCode="#,##0">
                  <c:v>4250</c:v>
                </c:pt>
                <c:pt idx="2297" formatCode="#,##0">
                  <c:v>4250</c:v>
                </c:pt>
                <c:pt idx="2298" formatCode="#,##0">
                  <c:v>4250</c:v>
                </c:pt>
                <c:pt idx="2299" formatCode="#,##0">
                  <c:v>4250</c:v>
                </c:pt>
                <c:pt idx="2300" formatCode="#,##0">
                  <c:v>4250</c:v>
                </c:pt>
                <c:pt idx="2301" formatCode="#,##0">
                  <c:v>4250</c:v>
                </c:pt>
                <c:pt idx="2302" formatCode="#,##0">
                  <c:v>4250</c:v>
                </c:pt>
                <c:pt idx="2303" formatCode="#,##0">
                  <c:v>4250</c:v>
                </c:pt>
                <c:pt idx="2304" formatCode="#,##0">
                  <c:v>4250</c:v>
                </c:pt>
                <c:pt idx="2305" formatCode="#,##0">
                  <c:v>4250</c:v>
                </c:pt>
                <c:pt idx="2306" formatCode="#,##0">
                  <c:v>4250</c:v>
                </c:pt>
                <c:pt idx="2307" formatCode="#,##0">
                  <c:v>4250</c:v>
                </c:pt>
                <c:pt idx="2308" formatCode="#,##0">
                  <c:v>4250</c:v>
                </c:pt>
                <c:pt idx="2309" formatCode="#,##0">
                  <c:v>4250</c:v>
                </c:pt>
                <c:pt idx="2310" formatCode="#,##0">
                  <c:v>4250</c:v>
                </c:pt>
                <c:pt idx="2311" formatCode="#,##0">
                  <c:v>4250</c:v>
                </c:pt>
                <c:pt idx="2312" formatCode="#,##0">
                  <c:v>4250</c:v>
                </c:pt>
                <c:pt idx="2313" formatCode="#,##0">
                  <c:v>4250</c:v>
                </c:pt>
                <c:pt idx="2314" formatCode="#,##0">
                  <c:v>4250</c:v>
                </c:pt>
                <c:pt idx="2315" formatCode="#,##0">
                  <c:v>4250</c:v>
                </c:pt>
                <c:pt idx="2316" formatCode="#,##0">
                  <c:v>4250</c:v>
                </c:pt>
                <c:pt idx="2317" formatCode="#,##0">
                  <c:v>4250</c:v>
                </c:pt>
                <c:pt idx="2318" formatCode="#,##0">
                  <c:v>4250</c:v>
                </c:pt>
                <c:pt idx="2319" formatCode="#,##0">
                  <c:v>4250</c:v>
                </c:pt>
                <c:pt idx="2320" formatCode="#,##0">
                  <c:v>4250</c:v>
                </c:pt>
                <c:pt idx="2321" formatCode="#,##0">
                  <c:v>4250</c:v>
                </c:pt>
                <c:pt idx="2322" formatCode="#,##0">
                  <c:v>4250</c:v>
                </c:pt>
                <c:pt idx="2323" formatCode="#,##0">
                  <c:v>4250</c:v>
                </c:pt>
                <c:pt idx="2324" formatCode="#,##0">
                  <c:v>4250</c:v>
                </c:pt>
                <c:pt idx="2325" formatCode="#,##0">
                  <c:v>4250</c:v>
                </c:pt>
                <c:pt idx="2326" formatCode="#,##0">
                  <c:v>4250</c:v>
                </c:pt>
                <c:pt idx="2327" formatCode="#,##0">
                  <c:v>4250</c:v>
                </c:pt>
                <c:pt idx="2328" formatCode="#,##0">
                  <c:v>4250</c:v>
                </c:pt>
                <c:pt idx="2329" formatCode="#,##0">
                  <c:v>4250</c:v>
                </c:pt>
                <c:pt idx="2330" formatCode="#,##0">
                  <c:v>4250</c:v>
                </c:pt>
                <c:pt idx="2331" formatCode="#,##0">
                  <c:v>4250</c:v>
                </c:pt>
                <c:pt idx="2332" formatCode="#,##0">
                  <c:v>4250</c:v>
                </c:pt>
                <c:pt idx="2333" formatCode="#,##0">
                  <c:v>4250</c:v>
                </c:pt>
                <c:pt idx="2334" formatCode="#,##0">
                  <c:v>4250</c:v>
                </c:pt>
                <c:pt idx="2335" formatCode="#,##0">
                  <c:v>4250</c:v>
                </c:pt>
                <c:pt idx="2336" formatCode="#,##0">
                  <c:v>4250</c:v>
                </c:pt>
                <c:pt idx="2337" formatCode="#,##0">
                  <c:v>4250</c:v>
                </c:pt>
                <c:pt idx="2338" formatCode="#,##0">
                  <c:v>4250</c:v>
                </c:pt>
                <c:pt idx="2339" formatCode="#,##0">
                  <c:v>4250</c:v>
                </c:pt>
                <c:pt idx="2340" formatCode="#,##0">
                  <c:v>4250</c:v>
                </c:pt>
                <c:pt idx="2341" formatCode="#,##0">
                  <c:v>4250</c:v>
                </c:pt>
                <c:pt idx="2342" formatCode="#,##0">
                  <c:v>4250</c:v>
                </c:pt>
                <c:pt idx="2343" formatCode="#,##0">
                  <c:v>4250</c:v>
                </c:pt>
                <c:pt idx="2344" formatCode="#,##0">
                  <c:v>4250</c:v>
                </c:pt>
                <c:pt idx="2345" formatCode="#,##0">
                  <c:v>4250</c:v>
                </c:pt>
                <c:pt idx="2346" formatCode="#,##0">
                  <c:v>4250</c:v>
                </c:pt>
                <c:pt idx="2347" formatCode="#,##0">
                  <c:v>4250</c:v>
                </c:pt>
                <c:pt idx="2348" formatCode="#,##0">
                  <c:v>4250</c:v>
                </c:pt>
                <c:pt idx="2349" formatCode="#,##0">
                  <c:v>4250</c:v>
                </c:pt>
                <c:pt idx="2350" formatCode="#,##0">
                  <c:v>4250</c:v>
                </c:pt>
                <c:pt idx="2351" formatCode="#,##0">
                  <c:v>4250</c:v>
                </c:pt>
                <c:pt idx="2352" formatCode="#,##0">
                  <c:v>4250</c:v>
                </c:pt>
                <c:pt idx="2353" formatCode="#,##0">
                  <c:v>4250</c:v>
                </c:pt>
                <c:pt idx="2354" formatCode="#,##0">
                  <c:v>4250</c:v>
                </c:pt>
                <c:pt idx="2355" formatCode="#,##0">
                  <c:v>4250</c:v>
                </c:pt>
                <c:pt idx="2356" formatCode="#,##0">
                  <c:v>4250</c:v>
                </c:pt>
                <c:pt idx="2357" formatCode="#,##0">
                  <c:v>4250</c:v>
                </c:pt>
                <c:pt idx="2358" formatCode="#,##0">
                  <c:v>4250</c:v>
                </c:pt>
                <c:pt idx="2359" formatCode="#,##0">
                  <c:v>4250</c:v>
                </c:pt>
                <c:pt idx="2360" formatCode="#,##0">
                  <c:v>4250</c:v>
                </c:pt>
                <c:pt idx="2361" formatCode="#,##0">
                  <c:v>4250</c:v>
                </c:pt>
                <c:pt idx="2362" formatCode="#,##0">
                  <c:v>4250</c:v>
                </c:pt>
                <c:pt idx="2363" formatCode="#,##0">
                  <c:v>4250</c:v>
                </c:pt>
                <c:pt idx="2364" formatCode="#,##0">
                  <c:v>4250</c:v>
                </c:pt>
                <c:pt idx="2365" formatCode="#,##0">
                  <c:v>4250</c:v>
                </c:pt>
                <c:pt idx="2366" formatCode="#,##0">
                  <c:v>4250</c:v>
                </c:pt>
                <c:pt idx="2367" formatCode="#,##0">
                  <c:v>4250</c:v>
                </c:pt>
                <c:pt idx="2368" formatCode="#,##0">
                  <c:v>4250</c:v>
                </c:pt>
                <c:pt idx="2369" formatCode="#,##0">
                  <c:v>4250</c:v>
                </c:pt>
                <c:pt idx="2370" formatCode="#,##0">
                  <c:v>4250</c:v>
                </c:pt>
                <c:pt idx="2371" formatCode="#,##0">
                  <c:v>4250</c:v>
                </c:pt>
                <c:pt idx="2372" formatCode="#,##0">
                  <c:v>4250</c:v>
                </c:pt>
                <c:pt idx="2373" formatCode="#,##0">
                  <c:v>4250</c:v>
                </c:pt>
                <c:pt idx="2374" formatCode="#,##0">
                  <c:v>4250</c:v>
                </c:pt>
                <c:pt idx="2375" formatCode="#,##0">
                  <c:v>4250</c:v>
                </c:pt>
                <c:pt idx="2376" formatCode="#,##0">
                  <c:v>4250</c:v>
                </c:pt>
                <c:pt idx="2377" formatCode="#,##0">
                  <c:v>4550</c:v>
                </c:pt>
                <c:pt idx="2378" formatCode="#,##0">
                  <c:v>4550</c:v>
                </c:pt>
                <c:pt idx="2379" formatCode="#,##0">
                  <c:v>4550</c:v>
                </c:pt>
                <c:pt idx="2380" formatCode="#,##0">
                  <c:v>4550</c:v>
                </c:pt>
                <c:pt idx="2381" formatCode="#,##0">
                  <c:v>4550</c:v>
                </c:pt>
                <c:pt idx="2382" formatCode="#,##0">
                  <c:v>4550</c:v>
                </c:pt>
                <c:pt idx="2383" formatCode="#,##0">
                  <c:v>4550</c:v>
                </c:pt>
                <c:pt idx="2384" formatCode="#,##0">
                  <c:v>4550</c:v>
                </c:pt>
                <c:pt idx="2385" formatCode="#,##0">
                  <c:v>4550</c:v>
                </c:pt>
                <c:pt idx="2386" formatCode="#,##0">
                  <c:v>4550</c:v>
                </c:pt>
                <c:pt idx="2387" formatCode="#,##0">
                  <c:v>4550</c:v>
                </c:pt>
                <c:pt idx="2388" formatCode="#,##0">
                  <c:v>4550</c:v>
                </c:pt>
                <c:pt idx="2389" formatCode="#,##0">
                  <c:v>4550</c:v>
                </c:pt>
                <c:pt idx="2390" formatCode="#,##0">
                  <c:v>4550</c:v>
                </c:pt>
                <c:pt idx="2391" formatCode="#,##0">
                  <c:v>4550</c:v>
                </c:pt>
                <c:pt idx="2392" formatCode="#,##0">
                  <c:v>4550</c:v>
                </c:pt>
                <c:pt idx="2393" formatCode="#,##0">
                  <c:v>4550</c:v>
                </c:pt>
                <c:pt idx="2394" formatCode="#,##0">
                  <c:v>4550</c:v>
                </c:pt>
                <c:pt idx="2395" formatCode="#,##0">
                  <c:v>4550</c:v>
                </c:pt>
                <c:pt idx="2396" formatCode="#,##0">
                  <c:v>4550</c:v>
                </c:pt>
                <c:pt idx="2397" formatCode="#,##0">
                  <c:v>4550</c:v>
                </c:pt>
                <c:pt idx="2398" formatCode="#,##0">
                  <c:v>4550</c:v>
                </c:pt>
                <c:pt idx="2399" formatCode="#,##0">
                  <c:v>4550</c:v>
                </c:pt>
                <c:pt idx="2400" formatCode="#,##0">
                  <c:v>4550</c:v>
                </c:pt>
                <c:pt idx="2401" formatCode="#,##0">
                  <c:v>4550</c:v>
                </c:pt>
                <c:pt idx="2402" formatCode="#,##0">
                  <c:v>4550</c:v>
                </c:pt>
                <c:pt idx="2403" formatCode="#,##0">
                  <c:v>4550</c:v>
                </c:pt>
                <c:pt idx="2404" formatCode="#,##0">
                  <c:v>4550</c:v>
                </c:pt>
                <c:pt idx="2405" formatCode="#,##0">
                  <c:v>4550</c:v>
                </c:pt>
                <c:pt idx="2406" formatCode="#,##0">
                  <c:v>4550</c:v>
                </c:pt>
                <c:pt idx="2407" formatCode="#,##0">
                  <c:v>4550</c:v>
                </c:pt>
                <c:pt idx="2408" formatCode="#,##0">
                  <c:v>4550</c:v>
                </c:pt>
                <c:pt idx="2409" formatCode="#,##0">
                  <c:v>4550</c:v>
                </c:pt>
                <c:pt idx="2410" formatCode="#,##0">
                  <c:v>4550</c:v>
                </c:pt>
                <c:pt idx="2411" formatCode="#,##0">
                  <c:v>4550</c:v>
                </c:pt>
                <c:pt idx="2412" formatCode="#,##0">
                  <c:v>4550</c:v>
                </c:pt>
                <c:pt idx="2413" formatCode="#,##0">
                  <c:v>4550</c:v>
                </c:pt>
                <c:pt idx="2414" formatCode="#,##0">
                  <c:v>4550</c:v>
                </c:pt>
                <c:pt idx="2415" formatCode="#,##0">
                  <c:v>4550</c:v>
                </c:pt>
                <c:pt idx="2416" formatCode="#,##0">
                  <c:v>4550</c:v>
                </c:pt>
                <c:pt idx="2417" formatCode="#,##0">
                  <c:v>4550</c:v>
                </c:pt>
                <c:pt idx="2418" formatCode="#,##0">
                  <c:v>4550</c:v>
                </c:pt>
                <c:pt idx="2419" formatCode="#,##0">
                  <c:v>4550</c:v>
                </c:pt>
                <c:pt idx="2420" formatCode="#,##0">
                  <c:v>4550</c:v>
                </c:pt>
                <c:pt idx="2421" formatCode="#,##0">
                  <c:v>4550</c:v>
                </c:pt>
                <c:pt idx="2422" formatCode="#,##0">
                  <c:v>4550</c:v>
                </c:pt>
                <c:pt idx="2423" formatCode="#,##0">
                  <c:v>4550</c:v>
                </c:pt>
                <c:pt idx="2424" formatCode="#,##0">
                  <c:v>4550</c:v>
                </c:pt>
                <c:pt idx="2425" formatCode="#,##0">
                  <c:v>4550</c:v>
                </c:pt>
                <c:pt idx="2426" formatCode="#,##0">
                  <c:v>4550</c:v>
                </c:pt>
                <c:pt idx="2427" formatCode="#,##0">
                  <c:v>4550</c:v>
                </c:pt>
                <c:pt idx="2428" formatCode="#,##0">
                  <c:v>4550</c:v>
                </c:pt>
                <c:pt idx="2429" formatCode="#,##0">
                  <c:v>4550</c:v>
                </c:pt>
                <c:pt idx="2430" formatCode="#,##0">
                  <c:v>4550</c:v>
                </c:pt>
                <c:pt idx="2431" formatCode="#,##0">
                  <c:v>4550</c:v>
                </c:pt>
                <c:pt idx="2432" formatCode="#,##0">
                  <c:v>4550</c:v>
                </c:pt>
                <c:pt idx="2433" formatCode="#,##0">
                  <c:v>4550</c:v>
                </c:pt>
                <c:pt idx="2434" formatCode="#,##0">
                  <c:v>4550</c:v>
                </c:pt>
                <c:pt idx="2435" formatCode="#,##0">
                  <c:v>4550</c:v>
                </c:pt>
                <c:pt idx="2436" formatCode="#,##0">
                  <c:v>4550</c:v>
                </c:pt>
                <c:pt idx="2437" formatCode="#,##0">
                  <c:v>4550</c:v>
                </c:pt>
                <c:pt idx="2438" formatCode="#,##0">
                  <c:v>4550</c:v>
                </c:pt>
                <c:pt idx="2439" formatCode="#,##0">
                  <c:v>4550</c:v>
                </c:pt>
                <c:pt idx="2440" formatCode="#,##0">
                  <c:v>4550</c:v>
                </c:pt>
                <c:pt idx="2441" formatCode="#,##0">
                  <c:v>4550</c:v>
                </c:pt>
                <c:pt idx="2442" formatCode="#,##0">
                  <c:v>4550</c:v>
                </c:pt>
                <c:pt idx="2443" formatCode="#,##0">
                  <c:v>4550</c:v>
                </c:pt>
                <c:pt idx="2444" formatCode="#,##0">
                  <c:v>4550</c:v>
                </c:pt>
                <c:pt idx="2445" formatCode="#,##0">
                  <c:v>4550</c:v>
                </c:pt>
                <c:pt idx="2446" formatCode="#,##0">
                  <c:v>4550</c:v>
                </c:pt>
                <c:pt idx="2447" formatCode="#,##0">
                  <c:v>4550</c:v>
                </c:pt>
                <c:pt idx="2448" formatCode="#,##0">
                  <c:v>4550</c:v>
                </c:pt>
                <c:pt idx="2449" formatCode="#,##0">
                  <c:v>4550</c:v>
                </c:pt>
                <c:pt idx="2450" formatCode="#,##0">
                  <c:v>4550</c:v>
                </c:pt>
                <c:pt idx="2451" formatCode="#,##0">
                  <c:v>4550</c:v>
                </c:pt>
                <c:pt idx="2452" formatCode="#,##0">
                  <c:v>4550</c:v>
                </c:pt>
                <c:pt idx="2453" formatCode="#,##0">
                  <c:v>4550</c:v>
                </c:pt>
                <c:pt idx="2454" formatCode="#,##0">
                  <c:v>4550</c:v>
                </c:pt>
                <c:pt idx="2455" formatCode="#,##0">
                  <c:v>4550</c:v>
                </c:pt>
                <c:pt idx="2456" formatCode="#,##0">
                  <c:v>4550</c:v>
                </c:pt>
                <c:pt idx="2457" formatCode="#,##0">
                  <c:v>4550</c:v>
                </c:pt>
                <c:pt idx="2458" formatCode="#,##0">
                  <c:v>4550</c:v>
                </c:pt>
                <c:pt idx="2459" formatCode="#,##0">
                  <c:v>4550</c:v>
                </c:pt>
                <c:pt idx="2460" formatCode="#,##0">
                  <c:v>4550</c:v>
                </c:pt>
                <c:pt idx="2461" formatCode="#,##0">
                  <c:v>4550</c:v>
                </c:pt>
                <c:pt idx="2462" formatCode="#,##0">
                  <c:v>4550</c:v>
                </c:pt>
                <c:pt idx="2463" formatCode="#,##0">
                  <c:v>4550</c:v>
                </c:pt>
                <c:pt idx="2464" formatCode="#,##0">
                  <c:v>4550</c:v>
                </c:pt>
                <c:pt idx="2465" formatCode="#,##0">
                  <c:v>4550</c:v>
                </c:pt>
                <c:pt idx="2466" formatCode="#,##0">
                  <c:v>4550</c:v>
                </c:pt>
                <c:pt idx="2467" formatCode="#,##0">
                  <c:v>4550</c:v>
                </c:pt>
                <c:pt idx="2468" formatCode="#,##0">
                  <c:v>4550</c:v>
                </c:pt>
                <c:pt idx="2469" formatCode="#,##0">
                  <c:v>4550</c:v>
                </c:pt>
                <c:pt idx="2470" formatCode="#,##0">
                  <c:v>4550</c:v>
                </c:pt>
                <c:pt idx="2471" formatCode="#,##0">
                  <c:v>4550</c:v>
                </c:pt>
                <c:pt idx="2472" formatCode="#,##0">
                  <c:v>4550</c:v>
                </c:pt>
                <c:pt idx="2473" formatCode="#,##0">
                  <c:v>4550</c:v>
                </c:pt>
                <c:pt idx="2474" formatCode="#,##0">
                  <c:v>4550</c:v>
                </c:pt>
                <c:pt idx="2475" formatCode="#,##0">
                  <c:v>4550</c:v>
                </c:pt>
                <c:pt idx="2476" formatCode="#,##0">
                  <c:v>4550</c:v>
                </c:pt>
                <c:pt idx="2477" formatCode="#,##0">
                  <c:v>4550</c:v>
                </c:pt>
                <c:pt idx="2478" formatCode="#,##0">
                  <c:v>4550</c:v>
                </c:pt>
                <c:pt idx="2479" formatCode="#,##0">
                  <c:v>4550</c:v>
                </c:pt>
                <c:pt idx="2480" formatCode="#,##0">
                  <c:v>4550</c:v>
                </c:pt>
                <c:pt idx="2481" formatCode="#,##0">
                  <c:v>4550</c:v>
                </c:pt>
                <c:pt idx="2482" formatCode="#,##0">
                  <c:v>4550</c:v>
                </c:pt>
                <c:pt idx="2483" formatCode="#,##0">
                  <c:v>4550</c:v>
                </c:pt>
                <c:pt idx="2484" formatCode="#,##0">
                  <c:v>4550</c:v>
                </c:pt>
                <c:pt idx="2485" formatCode="#,##0">
                  <c:v>4550</c:v>
                </c:pt>
                <c:pt idx="2486" formatCode="#,##0">
                  <c:v>4550</c:v>
                </c:pt>
                <c:pt idx="2487" formatCode="#,##0">
                  <c:v>4550</c:v>
                </c:pt>
                <c:pt idx="2488" formatCode="#,##0">
                  <c:v>4550</c:v>
                </c:pt>
                <c:pt idx="2489" formatCode="#,##0">
                  <c:v>4550</c:v>
                </c:pt>
                <c:pt idx="2490" formatCode="#,##0">
                  <c:v>4550</c:v>
                </c:pt>
                <c:pt idx="2491" formatCode="#,##0">
                  <c:v>4550</c:v>
                </c:pt>
                <c:pt idx="2492" formatCode="#,##0">
                  <c:v>4550</c:v>
                </c:pt>
                <c:pt idx="2493" formatCode="#,##0">
                  <c:v>4550</c:v>
                </c:pt>
                <c:pt idx="2494" formatCode="#,##0">
                  <c:v>4550</c:v>
                </c:pt>
                <c:pt idx="2495" formatCode="#,##0">
                  <c:v>4550</c:v>
                </c:pt>
                <c:pt idx="2496" formatCode="#,##0">
                  <c:v>4550</c:v>
                </c:pt>
                <c:pt idx="2497" formatCode="#,##0">
                  <c:v>4550</c:v>
                </c:pt>
                <c:pt idx="2498" formatCode="#,##0">
                  <c:v>4550</c:v>
                </c:pt>
                <c:pt idx="2499" formatCode="#,##0">
                  <c:v>4550</c:v>
                </c:pt>
                <c:pt idx="2500" formatCode="#,##0">
                  <c:v>4550</c:v>
                </c:pt>
                <c:pt idx="2501" formatCode="#,##0">
                  <c:v>4550</c:v>
                </c:pt>
                <c:pt idx="2502" formatCode="#,##0">
                  <c:v>4550</c:v>
                </c:pt>
                <c:pt idx="2503" formatCode="#,##0">
                  <c:v>4550</c:v>
                </c:pt>
                <c:pt idx="2504" formatCode="#,##0">
                  <c:v>4550</c:v>
                </c:pt>
                <c:pt idx="2505" formatCode="#,##0">
                  <c:v>4550</c:v>
                </c:pt>
                <c:pt idx="2506" formatCode="#,##0">
                  <c:v>4550</c:v>
                </c:pt>
                <c:pt idx="2507" formatCode="#,##0">
                  <c:v>4550</c:v>
                </c:pt>
                <c:pt idx="2508" formatCode="#,##0">
                  <c:v>4550</c:v>
                </c:pt>
                <c:pt idx="2509" formatCode="#,##0">
                  <c:v>4550</c:v>
                </c:pt>
                <c:pt idx="2510" formatCode="#,##0">
                  <c:v>4550</c:v>
                </c:pt>
                <c:pt idx="2511" formatCode="#,##0">
                  <c:v>4550</c:v>
                </c:pt>
                <c:pt idx="2512" formatCode="#,##0">
                  <c:v>4550</c:v>
                </c:pt>
                <c:pt idx="2513" formatCode="#,##0">
                  <c:v>4550</c:v>
                </c:pt>
                <c:pt idx="2514" formatCode="#,##0">
                  <c:v>4550</c:v>
                </c:pt>
                <c:pt idx="2515" formatCode="#,##0">
                  <c:v>4550</c:v>
                </c:pt>
                <c:pt idx="2516" formatCode="#,##0">
                  <c:v>4550</c:v>
                </c:pt>
                <c:pt idx="2517" formatCode="#,##0">
                  <c:v>4550</c:v>
                </c:pt>
                <c:pt idx="2518" formatCode="#,##0">
                  <c:v>4550</c:v>
                </c:pt>
                <c:pt idx="2519" formatCode="#,##0">
                  <c:v>4550</c:v>
                </c:pt>
                <c:pt idx="2520" formatCode="#,##0">
                  <c:v>4550</c:v>
                </c:pt>
                <c:pt idx="2521" formatCode="#,##0">
                  <c:v>4550</c:v>
                </c:pt>
                <c:pt idx="2522" formatCode="#,##0">
                  <c:v>4550</c:v>
                </c:pt>
                <c:pt idx="2523" formatCode="#,##0">
                  <c:v>4550</c:v>
                </c:pt>
                <c:pt idx="2524" formatCode="#,##0">
                  <c:v>4550</c:v>
                </c:pt>
                <c:pt idx="2525" formatCode="#,##0">
                  <c:v>4550</c:v>
                </c:pt>
                <c:pt idx="2526" formatCode="#,##0">
                  <c:v>4550</c:v>
                </c:pt>
                <c:pt idx="2527" formatCode="#,##0">
                  <c:v>4550</c:v>
                </c:pt>
                <c:pt idx="2528" formatCode="#,##0">
                  <c:v>4550</c:v>
                </c:pt>
                <c:pt idx="2529" formatCode="#,##0">
                  <c:v>4550</c:v>
                </c:pt>
                <c:pt idx="2530" formatCode="#,##0">
                  <c:v>4550</c:v>
                </c:pt>
                <c:pt idx="2531" formatCode="#,##0">
                  <c:v>4550</c:v>
                </c:pt>
                <c:pt idx="2532" formatCode="#,##0">
                  <c:v>4550</c:v>
                </c:pt>
                <c:pt idx="2533" formatCode="#,##0">
                  <c:v>4550</c:v>
                </c:pt>
                <c:pt idx="2534" formatCode="#,##0">
                  <c:v>4550</c:v>
                </c:pt>
                <c:pt idx="2535" formatCode="#,##0">
                  <c:v>4550</c:v>
                </c:pt>
                <c:pt idx="2536" formatCode="#,##0">
                  <c:v>4550</c:v>
                </c:pt>
                <c:pt idx="2537" formatCode="#,##0">
                  <c:v>4550</c:v>
                </c:pt>
                <c:pt idx="2538" formatCode="#,##0">
                  <c:v>4550</c:v>
                </c:pt>
                <c:pt idx="2539" formatCode="#,##0">
                  <c:v>4550</c:v>
                </c:pt>
                <c:pt idx="2540" formatCode="#,##0">
                  <c:v>4550</c:v>
                </c:pt>
                <c:pt idx="2541" formatCode="#,##0">
                  <c:v>4550</c:v>
                </c:pt>
                <c:pt idx="2542" formatCode="#,##0">
                  <c:v>4550</c:v>
                </c:pt>
                <c:pt idx="2543" formatCode="#,##0">
                  <c:v>4550</c:v>
                </c:pt>
                <c:pt idx="2544" formatCode="#,##0">
                  <c:v>4550</c:v>
                </c:pt>
                <c:pt idx="2545" formatCode="#,##0">
                  <c:v>4550</c:v>
                </c:pt>
                <c:pt idx="2546" formatCode="#,##0">
                  <c:v>4550</c:v>
                </c:pt>
                <c:pt idx="2547" formatCode="#,##0">
                  <c:v>4550</c:v>
                </c:pt>
                <c:pt idx="2548" formatCode="#,##0">
                  <c:v>4550</c:v>
                </c:pt>
                <c:pt idx="2549" formatCode="#,##0">
                  <c:v>4550</c:v>
                </c:pt>
                <c:pt idx="2550" formatCode="#,##0">
                  <c:v>4550</c:v>
                </c:pt>
                <c:pt idx="2551" formatCode="#,##0">
                  <c:v>4550</c:v>
                </c:pt>
                <c:pt idx="2552" formatCode="#,##0">
                  <c:v>4550</c:v>
                </c:pt>
                <c:pt idx="2553" formatCode="#,##0">
                  <c:v>4550</c:v>
                </c:pt>
                <c:pt idx="2554" formatCode="#,##0">
                  <c:v>4550</c:v>
                </c:pt>
                <c:pt idx="2555" formatCode="#,##0">
                  <c:v>4850</c:v>
                </c:pt>
                <c:pt idx="2556" formatCode="#,##0">
                  <c:v>4850</c:v>
                </c:pt>
                <c:pt idx="2557" formatCode="#,##0">
                  <c:v>4850</c:v>
                </c:pt>
                <c:pt idx="2558" formatCode="#,##0">
                  <c:v>4850</c:v>
                </c:pt>
                <c:pt idx="2559" formatCode="#,##0">
                  <c:v>4850</c:v>
                </c:pt>
                <c:pt idx="2560" formatCode="#,##0">
                  <c:v>4850</c:v>
                </c:pt>
                <c:pt idx="2561" formatCode="#,##0">
                  <c:v>4850</c:v>
                </c:pt>
                <c:pt idx="2562" formatCode="#,##0">
                  <c:v>4850</c:v>
                </c:pt>
                <c:pt idx="2563" formatCode="#,##0">
                  <c:v>4850</c:v>
                </c:pt>
                <c:pt idx="2564" formatCode="#,##0">
                  <c:v>4850</c:v>
                </c:pt>
                <c:pt idx="2565" formatCode="#,##0">
                  <c:v>4850</c:v>
                </c:pt>
                <c:pt idx="2566" formatCode="#,##0">
                  <c:v>4850</c:v>
                </c:pt>
                <c:pt idx="2567" formatCode="#,##0">
                  <c:v>4850</c:v>
                </c:pt>
                <c:pt idx="2568" formatCode="#,##0">
                  <c:v>4850</c:v>
                </c:pt>
                <c:pt idx="2569" formatCode="#,##0">
                  <c:v>4850</c:v>
                </c:pt>
                <c:pt idx="2570" formatCode="#,##0">
                  <c:v>4850</c:v>
                </c:pt>
                <c:pt idx="2571" formatCode="#,##0">
                  <c:v>4850</c:v>
                </c:pt>
                <c:pt idx="2572" formatCode="#,##0">
                  <c:v>4850</c:v>
                </c:pt>
                <c:pt idx="2573" formatCode="#,##0">
                  <c:v>4850</c:v>
                </c:pt>
                <c:pt idx="2574" formatCode="#,##0">
                  <c:v>4850</c:v>
                </c:pt>
                <c:pt idx="2575" formatCode="#,##0">
                  <c:v>4850</c:v>
                </c:pt>
                <c:pt idx="2576" formatCode="#,##0">
                  <c:v>4850</c:v>
                </c:pt>
                <c:pt idx="2577" formatCode="#,##0">
                  <c:v>4850</c:v>
                </c:pt>
                <c:pt idx="2578" formatCode="#,##0">
                  <c:v>4850</c:v>
                </c:pt>
                <c:pt idx="2579" formatCode="#,##0">
                  <c:v>4850</c:v>
                </c:pt>
                <c:pt idx="2580" formatCode="#,##0">
                  <c:v>4850</c:v>
                </c:pt>
                <c:pt idx="2581" formatCode="#,##0">
                  <c:v>4850</c:v>
                </c:pt>
                <c:pt idx="2582" formatCode="#,##0">
                  <c:v>4850</c:v>
                </c:pt>
                <c:pt idx="2583" formatCode="#,##0">
                  <c:v>4850</c:v>
                </c:pt>
                <c:pt idx="2584" formatCode="#,##0">
                  <c:v>4850</c:v>
                </c:pt>
                <c:pt idx="2585" formatCode="#,##0">
                  <c:v>4850</c:v>
                </c:pt>
                <c:pt idx="2586" formatCode="#,##0">
                  <c:v>4850</c:v>
                </c:pt>
                <c:pt idx="2587" formatCode="#,##0">
                  <c:v>4850</c:v>
                </c:pt>
                <c:pt idx="2588" formatCode="#,##0">
                  <c:v>4850</c:v>
                </c:pt>
                <c:pt idx="2589" formatCode="#,##0">
                  <c:v>4850</c:v>
                </c:pt>
                <c:pt idx="2590" formatCode="#,##0">
                  <c:v>4850</c:v>
                </c:pt>
                <c:pt idx="2591" formatCode="#,##0">
                  <c:v>4850</c:v>
                </c:pt>
                <c:pt idx="2592" formatCode="#,##0">
                  <c:v>4850</c:v>
                </c:pt>
                <c:pt idx="2593" formatCode="#,##0">
                  <c:v>4850</c:v>
                </c:pt>
                <c:pt idx="2594" formatCode="#,##0">
                  <c:v>4850</c:v>
                </c:pt>
                <c:pt idx="2595" formatCode="#,##0">
                  <c:v>4850</c:v>
                </c:pt>
                <c:pt idx="2596" formatCode="#,##0">
                  <c:v>4850</c:v>
                </c:pt>
                <c:pt idx="2597" formatCode="#,##0">
                  <c:v>4850</c:v>
                </c:pt>
                <c:pt idx="2598" formatCode="#,##0">
                  <c:v>4850</c:v>
                </c:pt>
                <c:pt idx="2599" formatCode="#,##0">
                  <c:v>4850</c:v>
                </c:pt>
                <c:pt idx="2600" formatCode="#,##0">
                  <c:v>4850</c:v>
                </c:pt>
                <c:pt idx="2601" formatCode="#,##0">
                  <c:v>4850</c:v>
                </c:pt>
                <c:pt idx="2602" formatCode="#,##0">
                  <c:v>4850</c:v>
                </c:pt>
                <c:pt idx="2603" formatCode="#,##0">
                  <c:v>4850</c:v>
                </c:pt>
                <c:pt idx="2604" formatCode="#,##0">
                  <c:v>4850</c:v>
                </c:pt>
                <c:pt idx="2605" formatCode="#,##0">
                  <c:v>4850</c:v>
                </c:pt>
                <c:pt idx="2606" formatCode="#,##0">
                  <c:v>4850</c:v>
                </c:pt>
                <c:pt idx="2607" formatCode="#,##0">
                  <c:v>4850</c:v>
                </c:pt>
                <c:pt idx="2608" formatCode="#,##0">
                  <c:v>4850</c:v>
                </c:pt>
                <c:pt idx="2609" formatCode="#,##0">
                  <c:v>4850</c:v>
                </c:pt>
                <c:pt idx="2610" formatCode="#,##0">
                  <c:v>4850</c:v>
                </c:pt>
                <c:pt idx="2611" formatCode="#,##0">
                  <c:v>4850</c:v>
                </c:pt>
                <c:pt idx="2612" formatCode="#,##0">
                  <c:v>4850</c:v>
                </c:pt>
                <c:pt idx="2613" formatCode="#,##0">
                  <c:v>4850</c:v>
                </c:pt>
                <c:pt idx="2614" formatCode="#,##0">
                  <c:v>4850</c:v>
                </c:pt>
                <c:pt idx="2615" formatCode="#,##0">
                  <c:v>4850</c:v>
                </c:pt>
                <c:pt idx="2616" formatCode="#,##0">
                  <c:v>4850</c:v>
                </c:pt>
                <c:pt idx="2617" formatCode="#,##0">
                  <c:v>4850</c:v>
                </c:pt>
                <c:pt idx="2618" formatCode="#,##0">
                  <c:v>4850</c:v>
                </c:pt>
                <c:pt idx="2619" formatCode="#,##0">
                  <c:v>4850</c:v>
                </c:pt>
                <c:pt idx="2620" formatCode="#,##0">
                  <c:v>4850</c:v>
                </c:pt>
                <c:pt idx="2621" formatCode="#,##0">
                  <c:v>4850</c:v>
                </c:pt>
                <c:pt idx="2622" formatCode="#,##0">
                  <c:v>4850</c:v>
                </c:pt>
                <c:pt idx="2623" formatCode="#,##0">
                  <c:v>4850</c:v>
                </c:pt>
                <c:pt idx="2624" formatCode="#,##0">
                  <c:v>4850</c:v>
                </c:pt>
                <c:pt idx="2625" formatCode="#,##0">
                  <c:v>4850</c:v>
                </c:pt>
                <c:pt idx="2626" formatCode="#,##0">
                  <c:v>4850</c:v>
                </c:pt>
                <c:pt idx="2627" formatCode="#,##0">
                  <c:v>4850</c:v>
                </c:pt>
                <c:pt idx="2628" formatCode="#,##0">
                  <c:v>4850</c:v>
                </c:pt>
                <c:pt idx="2629" formatCode="#,##0">
                  <c:v>4850</c:v>
                </c:pt>
                <c:pt idx="2630" formatCode="#,##0">
                  <c:v>4850</c:v>
                </c:pt>
                <c:pt idx="2631" formatCode="#,##0">
                  <c:v>4850</c:v>
                </c:pt>
                <c:pt idx="2632" formatCode="#,##0">
                  <c:v>4850</c:v>
                </c:pt>
                <c:pt idx="2633" formatCode="#,##0">
                  <c:v>4850</c:v>
                </c:pt>
                <c:pt idx="2634" formatCode="#,##0">
                  <c:v>4850</c:v>
                </c:pt>
                <c:pt idx="2635" formatCode="#,##0">
                  <c:v>4850</c:v>
                </c:pt>
                <c:pt idx="2636" formatCode="#,##0">
                  <c:v>4850</c:v>
                </c:pt>
                <c:pt idx="2637" formatCode="#,##0">
                  <c:v>4850</c:v>
                </c:pt>
                <c:pt idx="2638" formatCode="#,##0">
                  <c:v>4850</c:v>
                </c:pt>
                <c:pt idx="2639" formatCode="#,##0">
                  <c:v>4850</c:v>
                </c:pt>
                <c:pt idx="2640" formatCode="#,##0">
                  <c:v>4850</c:v>
                </c:pt>
                <c:pt idx="2641" formatCode="#,##0">
                  <c:v>4850</c:v>
                </c:pt>
                <c:pt idx="2642" formatCode="#,##0">
                  <c:v>4850</c:v>
                </c:pt>
                <c:pt idx="2643" formatCode="#,##0">
                  <c:v>4850</c:v>
                </c:pt>
                <c:pt idx="2644" formatCode="#,##0">
                  <c:v>4850</c:v>
                </c:pt>
                <c:pt idx="2645" formatCode="#,##0">
                  <c:v>4850</c:v>
                </c:pt>
                <c:pt idx="2646" formatCode="#,##0">
                  <c:v>4850</c:v>
                </c:pt>
                <c:pt idx="2647" formatCode="#,##0">
                  <c:v>4850</c:v>
                </c:pt>
                <c:pt idx="2648" formatCode="#,##0">
                  <c:v>4850</c:v>
                </c:pt>
                <c:pt idx="2649" formatCode="#,##0">
                  <c:v>4850</c:v>
                </c:pt>
                <c:pt idx="2650" formatCode="#,##0">
                  <c:v>4850</c:v>
                </c:pt>
                <c:pt idx="2651" formatCode="#,##0">
                  <c:v>4850</c:v>
                </c:pt>
                <c:pt idx="2652" formatCode="#,##0">
                  <c:v>4850</c:v>
                </c:pt>
                <c:pt idx="2653" formatCode="#,##0">
                  <c:v>4850</c:v>
                </c:pt>
                <c:pt idx="2654" formatCode="#,##0">
                  <c:v>4850</c:v>
                </c:pt>
                <c:pt idx="2655" formatCode="#,##0">
                  <c:v>4850</c:v>
                </c:pt>
                <c:pt idx="2656" formatCode="#,##0">
                  <c:v>4850</c:v>
                </c:pt>
                <c:pt idx="2657" formatCode="#,##0">
                  <c:v>4850</c:v>
                </c:pt>
                <c:pt idx="2658" formatCode="#,##0">
                  <c:v>4850</c:v>
                </c:pt>
                <c:pt idx="2659" formatCode="#,##0">
                  <c:v>4850</c:v>
                </c:pt>
                <c:pt idx="2660" formatCode="#,##0">
                  <c:v>4850</c:v>
                </c:pt>
                <c:pt idx="2661" formatCode="#,##0">
                  <c:v>4850</c:v>
                </c:pt>
                <c:pt idx="2662" formatCode="#,##0">
                  <c:v>4850</c:v>
                </c:pt>
                <c:pt idx="2663" formatCode="#,##0">
                  <c:v>4850</c:v>
                </c:pt>
                <c:pt idx="2664" formatCode="#,##0">
                  <c:v>4850</c:v>
                </c:pt>
                <c:pt idx="2665" formatCode="#,##0">
                  <c:v>4850</c:v>
                </c:pt>
                <c:pt idx="2666" formatCode="#,##0">
                  <c:v>4850</c:v>
                </c:pt>
                <c:pt idx="2667" formatCode="#,##0">
                  <c:v>4850</c:v>
                </c:pt>
                <c:pt idx="2668" formatCode="#,##0">
                  <c:v>4850</c:v>
                </c:pt>
                <c:pt idx="2669" formatCode="#,##0">
                  <c:v>4850</c:v>
                </c:pt>
                <c:pt idx="2670" formatCode="#,##0">
                  <c:v>4850</c:v>
                </c:pt>
                <c:pt idx="2671" formatCode="#,##0">
                  <c:v>4850</c:v>
                </c:pt>
                <c:pt idx="2672" formatCode="#,##0">
                  <c:v>4850</c:v>
                </c:pt>
                <c:pt idx="2673" formatCode="#,##0">
                  <c:v>4850</c:v>
                </c:pt>
                <c:pt idx="2674" formatCode="#,##0">
                  <c:v>4850</c:v>
                </c:pt>
                <c:pt idx="2675" formatCode="#,##0">
                  <c:v>4850</c:v>
                </c:pt>
                <c:pt idx="2676" formatCode="#,##0">
                  <c:v>4850</c:v>
                </c:pt>
                <c:pt idx="2677" formatCode="#,##0">
                  <c:v>4850</c:v>
                </c:pt>
                <c:pt idx="2678" formatCode="#,##0">
                  <c:v>4850</c:v>
                </c:pt>
                <c:pt idx="2679" formatCode="#,##0">
                  <c:v>4850</c:v>
                </c:pt>
                <c:pt idx="2680" formatCode="#,##0">
                  <c:v>4850</c:v>
                </c:pt>
                <c:pt idx="2681" formatCode="#,##0">
                  <c:v>4850</c:v>
                </c:pt>
                <c:pt idx="2682" formatCode="#,##0">
                  <c:v>4850</c:v>
                </c:pt>
                <c:pt idx="2683" formatCode="#,##0">
                  <c:v>4850</c:v>
                </c:pt>
                <c:pt idx="2684" formatCode="#,##0">
                  <c:v>4850</c:v>
                </c:pt>
                <c:pt idx="2685" formatCode="#,##0">
                  <c:v>4850</c:v>
                </c:pt>
                <c:pt idx="2686" formatCode="#,##0">
                  <c:v>4850</c:v>
                </c:pt>
                <c:pt idx="2687" formatCode="#,##0">
                  <c:v>4850</c:v>
                </c:pt>
                <c:pt idx="2688" formatCode="#,##0">
                  <c:v>4850</c:v>
                </c:pt>
                <c:pt idx="2689" formatCode="#,##0">
                  <c:v>4850</c:v>
                </c:pt>
                <c:pt idx="2690" formatCode="#,##0">
                  <c:v>4850</c:v>
                </c:pt>
                <c:pt idx="2691" formatCode="#,##0">
                  <c:v>4850</c:v>
                </c:pt>
                <c:pt idx="2692" formatCode="#,##0">
                  <c:v>4850</c:v>
                </c:pt>
                <c:pt idx="2693" formatCode="#,##0">
                  <c:v>4850</c:v>
                </c:pt>
                <c:pt idx="2694" formatCode="#,##0">
                  <c:v>4850</c:v>
                </c:pt>
                <c:pt idx="2695" formatCode="#,##0">
                  <c:v>4850</c:v>
                </c:pt>
                <c:pt idx="2696" formatCode="#,##0">
                  <c:v>4850</c:v>
                </c:pt>
                <c:pt idx="2697" formatCode="#,##0">
                  <c:v>4850</c:v>
                </c:pt>
                <c:pt idx="2698" formatCode="#,##0">
                  <c:v>4850</c:v>
                </c:pt>
                <c:pt idx="2699" formatCode="#,##0">
                  <c:v>4850</c:v>
                </c:pt>
                <c:pt idx="2700" formatCode="#,##0">
                  <c:v>4850</c:v>
                </c:pt>
                <c:pt idx="2701" formatCode="#,##0">
                  <c:v>4850</c:v>
                </c:pt>
                <c:pt idx="2702" formatCode="#,##0">
                  <c:v>4850</c:v>
                </c:pt>
                <c:pt idx="2703" formatCode="#,##0">
                  <c:v>4850</c:v>
                </c:pt>
                <c:pt idx="2704" formatCode="#,##0">
                  <c:v>4850</c:v>
                </c:pt>
                <c:pt idx="2705" formatCode="#,##0">
                  <c:v>4850</c:v>
                </c:pt>
                <c:pt idx="2706" formatCode="#,##0">
                  <c:v>4850</c:v>
                </c:pt>
                <c:pt idx="2707" formatCode="#,##0">
                  <c:v>4850</c:v>
                </c:pt>
                <c:pt idx="2708" formatCode="#,##0">
                  <c:v>4850</c:v>
                </c:pt>
                <c:pt idx="2709" formatCode="#,##0">
                  <c:v>4850</c:v>
                </c:pt>
                <c:pt idx="2710" formatCode="#,##0">
                  <c:v>4850</c:v>
                </c:pt>
                <c:pt idx="2711" formatCode="#,##0">
                  <c:v>4850</c:v>
                </c:pt>
                <c:pt idx="2712" formatCode="#,##0">
                  <c:v>4850</c:v>
                </c:pt>
                <c:pt idx="2713" formatCode="#,##0">
                  <c:v>4850</c:v>
                </c:pt>
                <c:pt idx="2714" formatCode="#,##0">
                  <c:v>4850</c:v>
                </c:pt>
                <c:pt idx="2715" formatCode="#,##0">
                  <c:v>4850</c:v>
                </c:pt>
                <c:pt idx="2716" formatCode="#,##0">
                  <c:v>4850</c:v>
                </c:pt>
                <c:pt idx="2717" formatCode="#,##0">
                  <c:v>4850</c:v>
                </c:pt>
                <c:pt idx="2718" formatCode="#,##0">
                  <c:v>4850</c:v>
                </c:pt>
                <c:pt idx="2719" formatCode="#,##0">
                  <c:v>4850</c:v>
                </c:pt>
                <c:pt idx="2720" formatCode="#,##0">
                  <c:v>4850</c:v>
                </c:pt>
                <c:pt idx="2721" formatCode="#,##0">
                  <c:v>4850</c:v>
                </c:pt>
                <c:pt idx="2722" formatCode="#,##0">
                  <c:v>4850</c:v>
                </c:pt>
                <c:pt idx="2723" formatCode="#,##0">
                  <c:v>4850</c:v>
                </c:pt>
                <c:pt idx="2724" formatCode="#,##0">
                  <c:v>5150</c:v>
                </c:pt>
                <c:pt idx="2725" formatCode="#,##0">
                  <c:v>5150</c:v>
                </c:pt>
                <c:pt idx="2726" formatCode="#,##0">
                  <c:v>5150</c:v>
                </c:pt>
                <c:pt idx="2727" formatCode="#,##0">
                  <c:v>5150</c:v>
                </c:pt>
                <c:pt idx="2728" formatCode="#,##0">
                  <c:v>5150</c:v>
                </c:pt>
                <c:pt idx="2729" formatCode="#,##0">
                  <c:v>5150</c:v>
                </c:pt>
                <c:pt idx="2730" formatCode="#,##0">
                  <c:v>5150</c:v>
                </c:pt>
                <c:pt idx="2731" formatCode="#,##0">
                  <c:v>5150</c:v>
                </c:pt>
                <c:pt idx="2732" formatCode="#,##0">
                  <c:v>5150</c:v>
                </c:pt>
                <c:pt idx="2733" formatCode="#,##0">
                  <c:v>5150</c:v>
                </c:pt>
                <c:pt idx="2734" formatCode="#,##0">
                  <c:v>5150</c:v>
                </c:pt>
                <c:pt idx="2735" formatCode="#,##0">
                  <c:v>5150</c:v>
                </c:pt>
                <c:pt idx="2736" formatCode="#,##0">
                  <c:v>5150</c:v>
                </c:pt>
                <c:pt idx="2737" formatCode="#,##0">
                  <c:v>5150</c:v>
                </c:pt>
                <c:pt idx="2738" formatCode="#,##0">
                  <c:v>5150</c:v>
                </c:pt>
                <c:pt idx="2739" formatCode="#,##0">
                  <c:v>5150</c:v>
                </c:pt>
                <c:pt idx="2740" formatCode="#,##0">
                  <c:v>5150</c:v>
                </c:pt>
                <c:pt idx="2741" formatCode="#,##0">
                  <c:v>5150</c:v>
                </c:pt>
                <c:pt idx="2742" formatCode="#,##0">
                  <c:v>5150</c:v>
                </c:pt>
                <c:pt idx="2743" formatCode="#,##0">
                  <c:v>5150</c:v>
                </c:pt>
                <c:pt idx="2744" formatCode="#,##0">
                  <c:v>5150</c:v>
                </c:pt>
                <c:pt idx="2745" formatCode="#,##0">
                  <c:v>5150</c:v>
                </c:pt>
                <c:pt idx="2746" formatCode="#,##0">
                  <c:v>5150</c:v>
                </c:pt>
                <c:pt idx="2747" formatCode="#,##0">
                  <c:v>5150</c:v>
                </c:pt>
                <c:pt idx="2748" formatCode="#,##0">
                  <c:v>5150</c:v>
                </c:pt>
                <c:pt idx="2749" formatCode="#,##0">
                  <c:v>5150</c:v>
                </c:pt>
                <c:pt idx="2750" formatCode="#,##0">
                  <c:v>5150</c:v>
                </c:pt>
                <c:pt idx="2751" formatCode="#,##0">
                  <c:v>5150</c:v>
                </c:pt>
                <c:pt idx="2752" formatCode="#,##0">
                  <c:v>5150</c:v>
                </c:pt>
                <c:pt idx="2753" formatCode="#,##0">
                  <c:v>5150</c:v>
                </c:pt>
                <c:pt idx="2754" formatCode="#,##0">
                  <c:v>5150</c:v>
                </c:pt>
                <c:pt idx="2755" formatCode="#,##0">
                  <c:v>5150</c:v>
                </c:pt>
                <c:pt idx="2756" formatCode="#,##0">
                  <c:v>5150</c:v>
                </c:pt>
                <c:pt idx="2757" formatCode="#,##0">
                  <c:v>5150</c:v>
                </c:pt>
                <c:pt idx="2758" formatCode="#,##0">
                  <c:v>5150</c:v>
                </c:pt>
                <c:pt idx="2759" formatCode="#,##0">
                  <c:v>5150</c:v>
                </c:pt>
                <c:pt idx="2760" formatCode="#,##0">
                  <c:v>5150</c:v>
                </c:pt>
                <c:pt idx="2761" formatCode="#,##0">
                  <c:v>5150</c:v>
                </c:pt>
                <c:pt idx="2762" formatCode="#,##0">
                  <c:v>5150</c:v>
                </c:pt>
                <c:pt idx="2763" formatCode="#,##0">
                  <c:v>5150</c:v>
                </c:pt>
                <c:pt idx="2764" formatCode="#,##0">
                  <c:v>5150</c:v>
                </c:pt>
                <c:pt idx="2765" formatCode="#,##0">
                  <c:v>5150</c:v>
                </c:pt>
                <c:pt idx="2766" formatCode="#,##0">
                  <c:v>5150</c:v>
                </c:pt>
                <c:pt idx="2767" formatCode="#,##0">
                  <c:v>5150</c:v>
                </c:pt>
                <c:pt idx="2768" formatCode="#,##0">
                  <c:v>5150</c:v>
                </c:pt>
                <c:pt idx="2769" formatCode="#,##0">
                  <c:v>5150</c:v>
                </c:pt>
                <c:pt idx="2770" formatCode="#,##0">
                  <c:v>5150</c:v>
                </c:pt>
                <c:pt idx="2771" formatCode="#,##0">
                  <c:v>5150</c:v>
                </c:pt>
                <c:pt idx="2772" formatCode="#,##0">
                  <c:v>5150</c:v>
                </c:pt>
                <c:pt idx="2773" formatCode="#,##0">
                  <c:v>5150</c:v>
                </c:pt>
                <c:pt idx="2774" formatCode="#,##0">
                  <c:v>5150</c:v>
                </c:pt>
                <c:pt idx="2775" formatCode="#,##0">
                  <c:v>5150</c:v>
                </c:pt>
                <c:pt idx="2776" formatCode="#,##0">
                  <c:v>5150</c:v>
                </c:pt>
                <c:pt idx="2777" formatCode="#,##0">
                  <c:v>5150</c:v>
                </c:pt>
                <c:pt idx="2778" formatCode="#,##0">
                  <c:v>5150</c:v>
                </c:pt>
                <c:pt idx="2779" formatCode="#,##0">
                  <c:v>5150</c:v>
                </c:pt>
                <c:pt idx="2780" formatCode="#,##0">
                  <c:v>5150</c:v>
                </c:pt>
                <c:pt idx="2781" formatCode="#,##0">
                  <c:v>5150</c:v>
                </c:pt>
                <c:pt idx="2782" formatCode="#,##0">
                  <c:v>5150</c:v>
                </c:pt>
                <c:pt idx="2783" formatCode="#,##0">
                  <c:v>5150</c:v>
                </c:pt>
                <c:pt idx="2784" formatCode="#,##0">
                  <c:v>5150</c:v>
                </c:pt>
                <c:pt idx="2785" formatCode="#,##0">
                  <c:v>5150</c:v>
                </c:pt>
                <c:pt idx="2786" formatCode="#,##0">
                  <c:v>5150</c:v>
                </c:pt>
                <c:pt idx="2787" formatCode="#,##0">
                  <c:v>5150</c:v>
                </c:pt>
                <c:pt idx="2788" formatCode="#,##0">
                  <c:v>5150</c:v>
                </c:pt>
                <c:pt idx="2789" formatCode="#,##0">
                  <c:v>5150</c:v>
                </c:pt>
                <c:pt idx="2790" formatCode="#,##0">
                  <c:v>5150</c:v>
                </c:pt>
                <c:pt idx="2791" formatCode="#,##0">
                  <c:v>5150</c:v>
                </c:pt>
                <c:pt idx="2792" formatCode="#,##0">
                  <c:v>5150</c:v>
                </c:pt>
                <c:pt idx="2793" formatCode="#,##0">
                  <c:v>5150</c:v>
                </c:pt>
                <c:pt idx="2794" formatCode="#,##0">
                  <c:v>5150</c:v>
                </c:pt>
                <c:pt idx="2795" formatCode="#,##0">
                  <c:v>5150</c:v>
                </c:pt>
                <c:pt idx="2796" formatCode="#,##0">
                  <c:v>5150</c:v>
                </c:pt>
                <c:pt idx="2797" formatCode="#,##0">
                  <c:v>5150</c:v>
                </c:pt>
                <c:pt idx="2798" formatCode="#,##0">
                  <c:v>5150</c:v>
                </c:pt>
                <c:pt idx="2799" formatCode="#,##0">
                  <c:v>5150</c:v>
                </c:pt>
                <c:pt idx="2800" formatCode="#,##0">
                  <c:v>5150</c:v>
                </c:pt>
                <c:pt idx="2801" formatCode="#,##0">
                  <c:v>5150</c:v>
                </c:pt>
                <c:pt idx="2802" formatCode="#,##0">
                  <c:v>5150</c:v>
                </c:pt>
                <c:pt idx="2803" formatCode="#,##0">
                  <c:v>5150</c:v>
                </c:pt>
                <c:pt idx="2804" formatCode="#,##0">
                  <c:v>5150</c:v>
                </c:pt>
                <c:pt idx="2805" formatCode="#,##0">
                  <c:v>5150</c:v>
                </c:pt>
                <c:pt idx="2806" formatCode="#,##0">
                  <c:v>5150</c:v>
                </c:pt>
                <c:pt idx="2807" formatCode="#,##0">
                  <c:v>5150</c:v>
                </c:pt>
                <c:pt idx="2808" formatCode="#,##0">
                  <c:v>5150</c:v>
                </c:pt>
                <c:pt idx="2809" formatCode="#,##0">
                  <c:v>5150</c:v>
                </c:pt>
                <c:pt idx="2810" formatCode="#,##0">
                  <c:v>5150</c:v>
                </c:pt>
                <c:pt idx="2811" formatCode="#,##0">
                  <c:v>5150</c:v>
                </c:pt>
                <c:pt idx="2812" formatCode="#,##0">
                  <c:v>5150</c:v>
                </c:pt>
                <c:pt idx="2813" formatCode="#,##0">
                  <c:v>5150</c:v>
                </c:pt>
                <c:pt idx="2814" formatCode="#,##0">
                  <c:v>5150</c:v>
                </c:pt>
                <c:pt idx="2815" formatCode="#,##0">
                  <c:v>5150</c:v>
                </c:pt>
                <c:pt idx="2816" formatCode="#,##0">
                  <c:v>5150</c:v>
                </c:pt>
                <c:pt idx="2817" formatCode="#,##0">
                  <c:v>5150</c:v>
                </c:pt>
                <c:pt idx="2818" formatCode="#,##0">
                  <c:v>5150</c:v>
                </c:pt>
                <c:pt idx="2819" formatCode="#,##0">
                  <c:v>5150</c:v>
                </c:pt>
                <c:pt idx="2820" formatCode="#,##0">
                  <c:v>5150</c:v>
                </c:pt>
                <c:pt idx="2821" formatCode="#,##0">
                  <c:v>5150</c:v>
                </c:pt>
                <c:pt idx="2822" formatCode="#,##0">
                  <c:v>5150</c:v>
                </c:pt>
                <c:pt idx="2823" formatCode="#,##0">
                  <c:v>5150</c:v>
                </c:pt>
                <c:pt idx="2824" formatCode="#,##0">
                  <c:v>5150</c:v>
                </c:pt>
                <c:pt idx="2825" formatCode="#,##0">
                  <c:v>5150</c:v>
                </c:pt>
                <c:pt idx="2826" formatCode="#,##0">
                  <c:v>5150</c:v>
                </c:pt>
                <c:pt idx="2827" formatCode="#,##0">
                  <c:v>5150</c:v>
                </c:pt>
                <c:pt idx="2828" formatCode="#,##0">
                  <c:v>5150</c:v>
                </c:pt>
                <c:pt idx="2829" formatCode="#,##0">
                  <c:v>5150</c:v>
                </c:pt>
                <c:pt idx="2830" formatCode="#,##0">
                  <c:v>5150</c:v>
                </c:pt>
                <c:pt idx="2831" formatCode="#,##0">
                  <c:v>5150</c:v>
                </c:pt>
                <c:pt idx="2832" formatCode="#,##0">
                  <c:v>5150</c:v>
                </c:pt>
                <c:pt idx="2833" formatCode="#,##0">
                  <c:v>5150</c:v>
                </c:pt>
                <c:pt idx="2834" formatCode="#,##0">
                  <c:v>5150</c:v>
                </c:pt>
                <c:pt idx="2835" formatCode="#,##0">
                  <c:v>5150</c:v>
                </c:pt>
                <c:pt idx="2836" formatCode="#,##0">
                  <c:v>5150</c:v>
                </c:pt>
                <c:pt idx="2837" formatCode="#,##0">
                  <c:v>5150</c:v>
                </c:pt>
                <c:pt idx="2838" formatCode="#,##0">
                  <c:v>5150</c:v>
                </c:pt>
                <c:pt idx="2839" formatCode="#,##0">
                  <c:v>5150</c:v>
                </c:pt>
                <c:pt idx="2840" formatCode="#,##0">
                  <c:v>5150</c:v>
                </c:pt>
                <c:pt idx="2841" formatCode="#,##0">
                  <c:v>5150</c:v>
                </c:pt>
                <c:pt idx="2842" formatCode="#,##0">
                  <c:v>5150</c:v>
                </c:pt>
                <c:pt idx="2843" formatCode="#,##0">
                  <c:v>5150</c:v>
                </c:pt>
                <c:pt idx="2844" formatCode="#,##0">
                  <c:v>5150</c:v>
                </c:pt>
                <c:pt idx="2845" formatCode="#,##0">
                  <c:v>5150</c:v>
                </c:pt>
                <c:pt idx="2846" formatCode="#,##0">
                  <c:v>5150</c:v>
                </c:pt>
                <c:pt idx="2847" formatCode="#,##0">
                  <c:v>5150</c:v>
                </c:pt>
                <c:pt idx="2848" formatCode="#,##0">
                  <c:v>5150</c:v>
                </c:pt>
                <c:pt idx="2849" formatCode="#,##0">
                  <c:v>5150</c:v>
                </c:pt>
                <c:pt idx="2850" formatCode="#,##0">
                  <c:v>5150</c:v>
                </c:pt>
                <c:pt idx="2851" formatCode="#,##0">
                  <c:v>5150</c:v>
                </c:pt>
                <c:pt idx="2852" formatCode="#,##0">
                  <c:v>5150</c:v>
                </c:pt>
                <c:pt idx="2853" formatCode="#,##0">
                  <c:v>5150</c:v>
                </c:pt>
                <c:pt idx="2854" formatCode="#,##0">
                  <c:v>5150</c:v>
                </c:pt>
                <c:pt idx="2855" formatCode="#,##0">
                  <c:v>5150</c:v>
                </c:pt>
                <c:pt idx="2856" formatCode="#,##0">
                  <c:v>5150</c:v>
                </c:pt>
                <c:pt idx="2857" formatCode="#,##0">
                  <c:v>5150</c:v>
                </c:pt>
                <c:pt idx="2858" formatCode="#,##0">
                  <c:v>5150</c:v>
                </c:pt>
                <c:pt idx="2859" formatCode="#,##0">
                  <c:v>5150</c:v>
                </c:pt>
                <c:pt idx="2860" formatCode="#,##0">
                  <c:v>5150</c:v>
                </c:pt>
                <c:pt idx="2861" formatCode="#,##0">
                  <c:v>5150</c:v>
                </c:pt>
                <c:pt idx="2862" formatCode="#,##0">
                  <c:v>5150</c:v>
                </c:pt>
                <c:pt idx="2863" formatCode="#,##0">
                  <c:v>5150</c:v>
                </c:pt>
                <c:pt idx="2864" formatCode="#,##0">
                  <c:v>5150</c:v>
                </c:pt>
                <c:pt idx="2865" formatCode="#,##0">
                  <c:v>5150</c:v>
                </c:pt>
                <c:pt idx="2866" formatCode="#,##0">
                  <c:v>5150</c:v>
                </c:pt>
                <c:pt idx="2867" formatCode="#,##0">
                  <c:v>5150</c:v>
                </c:pt>
                <c:pt idx="2868" formatCode="#,##0">
                  <c:v>5150</c:v>
                </c:pt>
                <c:pt idx="2869" formatCode="#,##0">
                  <c:v>5150</c:v>
                </c:pt>
                <c:pt idx="2870" formatCode="#,##0">
                  <c:v>5150</c:v>
                </c:pt>
                <c:pt idx="2871" formatCode="#,##0">
                  <c:v>5150</c:v>
                </c:pt>
                <c:pt idx="2872" formatCode="#,##0">
                  <c:v>5150</c:v>
                </c:pt>
                <c:pt idx="2873" formatCode="#,##0">
                  <c:v>5150</c:v>
                </c:pt>
                <c:pt idx="2874" formatCode="#,##0">
                  <c:v>5150</c:v>
                </c:pt>
                <c:pt idx="2875" formatCode="#,##0">
                  <c:v>5150</c:v>
                </c:pt>
                <c:pt idx="2876" formatCode="#,##0">
                  <c:v>5150</c:v>
                </c:pt>
                <c:pt idx="2877" formatCode="#,##0">
                  <c:v>5150</c:v>
                </c:pt>
                <c:pt idx="2878" formatCode="#,##0">
                  <c:v>5150</c:v>
                </c:pt>
                <c:pt idx="2879" formatCode="#,##0">
                  <c:v>5150</c:v>
                </c:pt>
                <c:pt idx="2880" formatCode="#,##0">
                  <c:v>5150</c:v>
                </c:pt>
                <c:pt idx="2881" formatCode="#,##0">
                  <c:v>5150</c:v>
                </c:pt>
                <c:pt idx="2882" formatCode="#,##0">
                  <c:v>5150</c:v>
                </c:pt>
                <c:pt idx="2883" formatCode="#,##0">
                  <c:v>5150</c:v>
                </c:pt>
                <c:pt idx="2884" formatCode="#,##0">
                  <c:v>5150</c:v>
                </c:pt>
                <c:pt idx="2885" formatCode="#,##0">
                  <c:v>5150</c:v>
                </c:pt>
                <c:pt idx="2886" formatCode="#,##0">
                  <c:v>5150</c:v>
                </c:pt>
                <c:pt idx="2887" formatCode="#,##0">
                  <c:v>5150</c:v>
                </c:pt>
                <c:pt idx="2888" formatCode="#,##0">
                  <c:v>5150</c:v>
                </c:pt>
                <c:pt idx="2889" formatCode="#,##0">
                  <c:v>5450</c:v>
                </c:pt>
                <c:pt idx="2890" formatCode="#,##0">
                  <c:v>5450</c:v>
                </c:pt>
                <c:pt idx="2891" formatCode="#,##0">
                  <c:v>5450</c:v>
                </c:pt>
                <c:pt idx="2892" formatCode="#,##0">
                  <c:v>5450</c:v>
                </c:pt>
                <c:pt idx="2893" formatCode="#,##0">
                  <c:v>5450</c:v>
                </c:pt>
                <c:pt idx="2894" formatCode="#,##0">
                  <c:v>5450</c:v>
                </c:pt>
                <c:pt idx="2895" formatCode="#,##0">
                  <c:v>5450</c:v>
                </c:pt>
                <c:pt idx="2896" formatCode="#,##0">
                  <c:v>5450</c:v>
                </c:pt>
                <c:pt idx="2897" formatCode="#,##0">
                  <c:v>5450</c:v>
                </c:pt>
                <c:pt idx="2898" formatCode="#,##0">
                  <c:v>5450</c:v>
                </c:pt>
                <c:pt idx="2899" formatCode="#,##0">
                  <c:v>5450</c:v>
                </c:pt>
                <c:pt idx="2900" formatCode="#,##0">
                  <c:v>5450</c:v>
                </c:pt>
                <c:pt idx="2901" formatCode="#,##0">
                  <c:v>5450</c:v>
                </c:pt>
                <c:pt idx="2902" formatCode="#,##0">
                  <c:v>5450</c:v>
                </c:pt>
                <c:pt idx="2903" formatCode="#,##0">
                  <c:v>5450</c:v>
                </c:pt>
                <c:pt idx="2904" formatCode="#,##0">
                  <c:v>5450</c:v>
                </c:pt>
                <c:pt idx="2905" formatCode="#,##0">
                  <c:v>5450</c:v>
                </c:pt>
                <c:pt idx="2906" formatCode="#,##0">
                  <c:v>5450</c:v>
                </c:pt>
                <c:pt idx="2907" formatCode="#,##0">
                  <c:v>5450</c:v>
                </c:pt>
                <c:pt idx="2908" formatCode="#,##0">
                  <c:v>5450</c:v>
                </c:pt>
                <c:pt idx="2909" formatCode="#,##0">
                  <c:v>5450</c:v>
                </c:pt>
                <c:pt idx="2910" formatCode="#,##0">
                  <c:v>5450</c:v>
                </c:pt>
                <c:pt idx="2911" formatCode="#,##0">
                  <c:v>5450</c:v>
                </c:pt>
                <c:pt idx="2912" formatCode="#,##0">
                  <c:v>5450</c:v>
                </c:pt>
                <c:pt idx="2913" formatCode="#,##0">
                  <c:v>5450</c:v>
                </c:pt>
                <c:pt idx="2914" formatCode="#,##0">
                  <c:v>5450</c:v>
                </c:pt>
                <c:pt idx="2915" formatCode="#,##0">
                  <c:v>5450</c:v>
                </c:pt>
                <c:pt idx="2916" formatCode="#,##0">
                  <c:v>5450</c:v>
                </c:pt>
                <c:pt idx="2917" formatCode="#,##0">
                  <c:v>5450</c:v>
                </c:pt>
                <c:pt idx="2918" formatCode="#,##0">
                  <c:v>5450</c:v>
                </c:pt>
                <c:pt idx="2919" formatCode="#,##0">
                  <c:v>5450</c:v>
                </c:pt>
                <c:pt idx="2920" formatCode="#,##0">
                  <c:v>5450</c:v>
                </c:pt>
                <c:pt idx="2921" formatCode="#,##0">
                  <c:v>5450</c:v>
                </c:pt>
                <c:pt idx="2922" formatCode="#,##0">
                  <c:v>5450</c:v>
                </c:pt>
                <c:pt idx="2923" formatCode="#,##0">
                  <c:v>5450</c:v>
                </c:pt>
                <c:pt idx="2924" formatCode="#,##0">
                  <c:v>5450</c:v>
                </c:pt>
                <c:pt idx="2925" formatCode="#,##0">
                  <c:v>5450</c:v>
                </c:pt>
                <c:pt idx="2926" formatCode="#,##0">
                  <c:v>5450</c:v>
                </c:pt>
                <c:pt idx="2927" formatCode="#,##0">
                  <c:v>5450</c:v>
                </c:pt>
                <c:pt idx="2928" formatCode="#,##0">
                  <c:v>5450</c:v>
                </c:pt>
                <c:pt idx="2929" formatCode="#,##0">
                  <c:v>5450</c:v>
                </c:pt>
                <c:pt idx="2930" formatCode="#,##0">
                  <c:v>5450</c:v>
                </c:pt>
                <c:pt idx="2931" formatCode="#,##0">
                  <c:v>5450</c:v>
                </c:pt>
                <c:pt idx="2932" formatCode="#,##0">
                  <c:v>5450</c:v>
                </c:pt>
                <c:pt idx="2933" formatCode="#,##0">
                  <c:v>5450</c:v>
                </c:pt>
                <c:pt idx="2934" formatCode="#,##0">
                  <c:v>5450</c:v>
                </c:pt>
                <c:pt idx="2935" formatCode="#,##0">
                  <c:v>5450</c:v>
                </c:pt>
                <c:pt idx="2936" formatCode="#,##0">
                  <c:v>5450</c:v>
                </c:pt>
                <c:pt idx="2937" formatCode="#,##0">
                  <c:v>5450</c:v>
                </c:pt>
                <c:pt idx="2938" formatCode="#,##0">
                  <c:v>5450</c:v>
                </c:pt>
                <c:pt idx="2939" formatCode="#,##0">
                  <c:v>5450</c:v>
                </c:pt>
                <c:pt idx="2940" formatCode="#,##0">
                  <c:v>5450</c:v>
                </c:pt>
                <c:pt idx="2941" formatCode="#,##0">
                  <c:v>5450</c:v>
                </c:pt>
                <c:pt idx="2942" formatCode="#,##0">
                  <c:v>5450</c:v>
                </c:pt>
                <c:pt idx="2943" formatCode="#,##0">
                  <c:v>5450</c:v>
                </c:pt>
                <c:pt idx="2944" formatCode="#,##0">
                  <c:v>5450</c:v>
                </c:pt>
                <c:pt idx="2945" formatCode="#,##0">
                  <c:v>5450</c:v>
                </c:pt>
                <c:pt idx="2946" formatCode="#,##0">
                  <c:v>5450</c:v>
                </c:pt>
                <c:pt idx="2947" formatCode="#,##0">
                  <c:v>5450</c:v>
                </c:pt>
                <c:pt idx="2948" formatCode="#,##0">
                  <c:v>5450</c:v>
                </c:pt>
                <c:pt idx="2949" formatCode="#,##0">
                  <c:v>5450</c:v>
                </c:pt>
                <c:pt idx="2950" formatCode="#,##0">
                  <c:v>5450</c:v>
                </c:pt>
                <c:pt idx="2951" formatCode="#,##0">
                  <c:v>5450</c:v>
                </c:pt>
                <c:pt idx="2952" formatCode="#,##0">
                  <c:v>5450</c:v>
                </c:pt>
                <c:pt idx="2953" formatCode="#,##0">
                  <c:v>5450</c:v>
                </c:pt>
                <c:pt idx="2954" formatCode="#,##0">
                  <c:v>5450</c:v>
                </c:pt>
                <c:pt idx="2955" formatCode="#,##0">
                  <c:v>5750</c:v>
                </c:pt>
                <c:pt idx="2956" formatCode="#,##0">
                  <c:v>5750</c:v>
                </c:pt>
                <c:pt idx="2957" formatCode="#,##0">
                  <c:v>5750</c:v>
                </c:pt>
                <c:pt idx="2958" formatCode="#,##0">
                  <c:v>5750</c:v>
                </c:pt>
                <c:pt idx="2959" formatCode="#,##0">
                  <c:v>5750</c:v>
                </c:pt>
                <c:pt idx="2960" formatCode="#,##0">
                  <c:v>5750</c:v>
                </c:pt>
                <c:pt idx="2961" formatCode="#,##0">
                  <c:v>5750</c:v>
                </c:pt>
                <c:pt idx="2962" formatCode="#,##0">
                  <c:v>5750</c:v>
                </c:pt>
                <c:pt idx="2963" formatCode="#,##0">
                  <c:v>5750</c:v>
                </c:pt>
                <c:pt idx="2964" formatCode="#,##0">
                  <c:v>5750</c:v>
                </c:pt>
                <c:pt idx="2965" formatCode="#,##0">
                  <c:v>5750</c:v>
                </c:pt>
                <c:pt idx="2966" formatCode="#,##0">
                  <c:v>5750</c:v>
                </c:pt>
                <c:pt idx="2967" formatCode="#,##0">
                  <c:v>5750</c:v>
                </c:pt>
                <c:pt idx="2968" formatCode="#,##0">
                  <c:v>5750</c:v>
                </c:pt>
                <c:pt idx="2969" formatCode="#,##0">
                  <c:v>5750</c:v>
                </c:pt>
                <c:pt idx="2970" formatCode="#,##0">
                  <c:v>5750</c:v>
                </c:pt>
                <c:pt idx="2971" formatCode="#,##0">
                  <c:v>5750</c:v>
                </c:pt>
                <c:pt idx="2972" formatCode="#,##0">
                  <c:v>5750</c:v>
                </c:pt>
                <c:pt idx="2973" formatCode="#,##0">
                  <c:v>5750</c:v>
                </c:pt>
                <c:pt idx="2974" formatCode="#,##0">
                  <c:v>5750</c:v>
                </c:pt>
                <c:pt idx="2975" formatCode="#,##0">
                  <c:v>5750</c:v>
                </c:pt>
                <c:pt idx="2976" formatCode="#,##0">
                  <c:v>5750</c:v>
                </c:pt>
                <c:pt idx="2977" formatCode="#,##0">
                  <c:v>5750</c:v>
                </c:pt>
                <c:pt idx="2978" formatCode="#,##0">
                  <c:v>5750</c:v>
                </c:pt>
                <c:pt idx="2979" formatCode="#,##0">
                  <c:v>5750</c:v>
                </c:pt>
                <c:pt idx="2980" formatCode="#,##0">
                  <c:v>5750</c:v>
                </c:pt>
                <c:pt idx="2981" formatCode="#,##0">
                  <c:v>5750</c:v>
                </c:pt>
                <c:pt idx="2982" formatCode="#,##0">
                  <c:v>5750</c:v>
                </c:pt>
                <c:pt idx="2983" formatCode="#,##0">
                  <c:v>5750</c:v>
                </c:pt>
                <c:pt idx="2984" formatCode="#,##0">
                  <c:v>5750</c:v>
                </c:pt>
                <c:pt idx="2985" formatCode="#,##0">
                  <c:v>5750</c:v>
                </c:pt>
                <c:pt idx="2986" formatCode="#,##0">
                  <c:v>5750</c:v>
                </c:pt>
                <c:pt idx="2987" formatCode="#,##0">
                  <c:v>5750</c:v>
                </c:pt>
                <c:pt idx="2988" formatCode="#,##0">
                  <c:v>5750</c:v>
                </c:pt>
                <c:pt idx="2989" formatCode="#,##0">
                  <c:v>5750</c:v>
                </c:pt>
                <c:pt idx="2990" formatCode="#,##0">
                  <c:v>5750</c:v>
                </c:pt>
                <c:pt idx="2991" formatCode="#,##0">
                  <c:v>5750</c:v>
                </c:pt>
                <c:pt idx="2992" formatCode="#,##0">
                  <c:v>5750</c:v>
                </c:pt>
                <c:pt idx="2993" formatCode="#,##0">
                  <c:v>5750</c:v>
                </c:pt>
                <c:pt idx="2994" formatCode="#,##0">
                  <c:v>5750</c:v>
                </c:pt>
                <c:pt idx="2995" formatCode="#,##0">
                  <c:v>5750</c:v>
                </c:pt>
                <c:pt idx="2996" formatCode="#,##0">
                  <c:v>5750</c:v>
                </c:pt>
                <c:pt idx="2997" formatCode="#,##0">
                  <c:v>5750</c:v>
                </c:pt>
                <c:pt idx="2998" formatCode="#,##0">
                  <c:v>5750</c:v>
                </c:pt>
                <c:pt idx="2999" formatCode="#,##0">
                  <c:v>5750</c:v>
                </c:pt>
                <c:pt idx="3000" formatCode="#,##0">
                  <c:v>5750</c:v>
                </c:pt>
                <c:pt idx="3001" formatCode="#,##0">
                  <c:v>5750</c:v>
                </c:pt>
                <c:pt idx="3002" formatCode="#,##0">
                  <c:v>5750</c:v>
                </c:pt>
                <c:pt idx="3003" formatCode="#,##0">
                  <c:v>5750</c:v>
                </c:pt>
                <c:pt idx="3004" formatCode="#,##0">
                  <c:v>5750</c:v>
                </c:pt>
                <c:pt idx="3005" formatCode="#,##0">
                  <c:v>5750</c:v>
                </c:pt>
                <c:pt idx="3006" formatCode="#,##0">
                  <c:v>5750</c:v>
                </c:pt>
                <c:pt idx="3007" formatCode="#,##0">
                  <c:v>5750</c:v>
                </c:pt>
                <c:pt idx="3008" formatCode="#,##0">
                  <c:v>5750</c:v>
                </c:pt>
                <c:pt idx="3009" formatCode="#,##0">
                  <c:v>5750</c:v>
                </c:pt>
                <c:pt idx="3010" formatCode="#,##0">
                  <c:v>5750</c:v>
                </c:pt>
                <c:pt idx="3011" formatCode="#,##0">
                  <c:v>5750</c:v>
                </c:pt>
                <c:pt idx="3012" formatCode="#,##0">
                  <c:v>5750</c:v>
                </c:pt>
                <c:pt idx="3013" formatCode="#,##0">
                  <c:v>5750</c:v>
                </c:pt>
                <c:pt idx="3014" formatCode="#,##0">
                  <c:v>5750</c:v>
                </c:pt>
                <c:pt idx="3015" formatCode="#,##0">
                  <c:v>5750</c:v>
                </c:pt>
                <c:pt idx="3016" formatCode="#,##0">
                  <c:v>5750</c:v>
                </c:pt>
                <c:pt idx="3017" formatCode="#,##0">
                  <c:v>5750</c:v>
                </c:pt>
                <c:pt idx="3018" formatCode="#,##0">
                  <c:v>5750</c:v>
                </c:pt>
                <c:pt idx="3019" formatCode="#,##0">
                  <c:v>5750</c:v>
                </c:pt>
                <c:pt idx="3020" formatCode="#,##0">
                  <c:v>5750</c:v>
                </c:pt>
                <c:pt idx="3021" formatCode="#,##0">
                  <c:v>5750</c:v>
                </c:pt>
                <c:pt idx="3022" formatCode="#,##0">
                  <c:v>6050</c:v>
                </c:pt>
                <c:pt idx="3023" formatCode="#,##0">
                  <c:v>6050</c:v>
                </c:pt>
                <c:pt idx="3024" formatCode="#,##0">
                  <c:v>6050</c:v>
                </c:pt>
                <c:pt idx="3025" formatCode="#,##0">
                  <c:v>6050</c:v>
                </c:pt>
                <c:pt idx="3026" formatCode="#,##0">
                  <c:v>6050</c:v>
                </c:pt>
                <c:pt idx="3027" formatCode="#,##0">
                  <c:v>6050</c:v>
                </c:pt>
                <c:pt idx="3028" formatCode="#,##0">
                  <c:v>6050</c:v>
                </c:pt>
                <c:pt idx="3029" formatCode="#,##0">
                  <c:v>6050</c:v>
                </c:pt>
                <c:pt idx="3030" formatCode="#,##0">
                  <c:v>6050</c:v>
                </c:pt>
                <c:pt idx="3031" formatCode="#,##0">
                  <c:v>6050</c:v>
                </c:pt>
                <c:pt idx="3032" formatCode="#,##0">
                  <c:v>6050</c:v>
                </c:pt>
                <c:pt idx="3033" formatCode="#,##0">
                  <c:v>6050</c:v>
                </c:pt>
                <c:pt idx="3034" formatCode="#,##0">
                  <c:v>6050</c:v>
                </c:pt>
                <c:pt idx="3035" formatCode="#,##0">
                  <c:v>6050</c:v>
                </c:pt>
                <c:pt idx="3036" formatCode="#,##0">
                  <c:v>6050</c:v>
                </c:pt>
                <c:pt idx="3037" formatCode="#,##0">
                  <c:v>6050</c:v>
                </c:pt>
                <c:pt idx="3038" formatCode="#,##0">
                  <c:v>6050</c:v>
                </c:pt>
                <c:pt idx="3039" formatCode="#,##0">
                  <c:v>6050</c:v>
                </c:pt>
                <c:pt idx="3040" formatCode="#,##0">
                  <c:v>6050</c:v>
                </c:pt>
                <c:pt idx="3041" formatCode="#,##0">
                  <c:v>6050</c:v>
                </c:pt>
                <c:pt idx="3042" formatCode="#,##0">
                  <c:v>6050</c:v>
                </c:pt>
                <c:pt idx="3043" formatCode="#,##0">
                  <c:v>6050</c:v>
                </c:pt>
                <c:pt idx="3044" formatCode="#,##0">
                  <c:v>6050</c:v>
                </c:pt>
                <c:pt idx="3045" formatCode="#,##0">
                  <c:v>6050</c:v>
                </c:pt>
                <c:pt idx="3046" formatCode="#,##0">
                  <c:v>6050</c:v>
                </c:pt>
                <c:pt idx="3047" formatCode="#,##0">
                  <c:v>6050</c:v>
                </c:pt>
                <c:pt idx="3048" formatCode="#,##0">
                  <c:v>6050</c:v>
                </c:pt>
                <c:pt idx="3049" formatCode="#,##0">
                  <c:v>6050</c:v>
                </c:pt>
                <c:pt idx="3050" formatCode="#,##0">
                  <c:v>6050</c:v>
                </c:pt>
                <c:pt idx="3051" formatCode="#,##0">
                  <c:v>6050</c:v>
                </c:pt>
                <c:pt idx="3052" formatCode="#,##0">
                  <c:v>6050</c:v>
                </c:pt>
                <c:pt idx="3053" formatCode="#,##0">
                  <c:v>6050</c:v>
                </c:pt>
                <c:pt idx="3054" formatCode="#,##0">
                  <c:v>6050</c:v>
                </c:pt>
                <c:pt idx="3055" formatCode="#,##0">
                  <c:v>6050</c:v>
                </c:pt>
                <c:pt idx="3056" formatCode="#,##0">
                  <c:v>6050</c:v>
                </c:pt>
                <c:pt idx="3057" formatCode="#,##0">
                  <c:v>6050</c:v>
                </c:pt>
                <c:pt idx="3058" formatCode="#,##0">
                  <c:v>6050</c:v>
                </c:pt>
                <c:pt idx="3059" formatCode="#,##0">
                  <c:v>6050</c:v>
                </c:pt>
                <c:pt idx="3060" formatCode="#,##0">
                  <c:v>6050</c:v>
                </c:pt>
                <c:pt idx="3061" formatCode="#,##0">
                  <c:v>6050</c:v>
                </c:pt>
                <c:pt idx="3062" formatCode="#,##0">
                  <c:v>6050</c:v>
                </c:pt>
                <c:pt idx="3063" formatCode="#,##0">
                  <c:v>6050</c:v>
                </c:pt>
                <c:pt idx="3064" formatCode="#,##0">
                  <c:v>6050</c:v>
                </c:pt>
                <c:pt idx="3065" formatCode="#,##0">
                  <c:v>6050</c:v>
                </c:pt>
                <c:pt idx="3066" formatCode="#,##0">
                  <c:v>6050</c:v>
                </c:pt>
                <c:pt idx="3067" formatCode="#,##0">
                  <c:v>6050</c:v>
                </c:pt>
                <c:pt idx="3068" formatCode="#,##0">
                  <c:v>6050</c:v>
                </c:pt>
                <c:pt idx="3069" formatCode="#,##0">
                  <c:v>6050</c:v>
                </c:pt>
                <c:pt idx="3070" formatCode="#,##0">
                  <c:v>6050</c:v>
                </c:pt>
                <c:pt idx="3071" formatCode="#,##0">
                  <c:v>6050</c:v>
                </c:pt>
                <c:pt idx="3072" formatCode="#,##0">
                  <c:v>6050</c:v>
                </c:pt>
                <c:pt idx="3073" formatCode="#,##0">
                  <c:v>6050</c:v>
                </c:pt>
                <c:pt idx="3074" formatCode="#,##0">
                  <c:v>6050</c:v>
                </c:pt>
                <c:pt idx="3075" formatCode="#,##0">
                  <c:v>6050</c:v>
                </c:pt>
                <c:pt idx="3076" formatCode="#,##0">
                  <c:v>6050</c:v>
                </c:pt>
                <c:pt idx="3077" formatCode="#,##0">
                  <c:v>6050</c:v>
                </c:pt>
                <c:pt idx="3078" formatCode="#,##0">
                  <c:v>6050</c:v>
                </c:pt>
                <c:pt idx="3079" formatCode="#,##0">
                  <c:v>6050</c:v>
                </c:pt>
                <c:pt idx="3080" formatCode="#,##0">
                  <c:v>6050</c:v>
                </c:pt>
                <c:pt idx="3081" formatCode="#,##0">
                  <c:v>6050</c:v>
                </c:pt>
                <c:pt idx="3082" formatCode="#,##0">
                  <c:v>6050</c:v>
                </c:pt>
                <c:pt idx="3083" formatCode="#,##0">
                  <c:v>6050</c:v>
                </c:pt>
                <c:pt idx="3084" formatCode="#,##0">
                  <c:v>6050</c:v>
                </c:pt>
                <c:pt idx="3085" formatCode="#,##0">
                  <c:v>6050</c:v>
                </c:pt>
                <c:pt idx="3086" formatCode="#,##0">
                  <c:v>6350</c:v>
                </c:pt>
                <c:pt idx="3087" formatCode="#,##0">
                  <c:v>6350</c:v>
                </c:pt>
                <c:pt idx="3088" formatCode="#,##0">
                  <c:v>6350</c:v>
                </c:pt>
                <c:pt idx="3089" formatCode="#,##0">
                  <c:v>6350</c:v>
                </c:pt>
                <c:pt idx="3090" formatCode="#,##0">
                  <c:v>6350</c:v>
                </c:pt>
                <c:pt idx="3091" formatCode="#,##0">
                  <c:v>6350</c:v>
                </c:pt>
                <c:pt idx="3092" formatCode="#,##0">
                  <c:v>6350</c:v>
                </c:pt>
                <c:pt idx="3093" formatCode="#,##0">
                  <c:v>6350</c:v>
                </c:pt>
                <c:pt idx="3094" formatCode="#,##0">
                  <c:v>6350</c:v>
                </c:pt>
                <c:pt idx="3095" formatCode="#,##0">
                  <c:v>6350</c:v>
                </c:pt>
                <c:pt idx="3096" formatCode="#,##0">
                  <c:v>6350</c:v>
                </c:pt>
                <c:pt idx="3097" formatCode="#,##0">
                  <c:v>6350</c:v>
                </c:pt>
                <c:pt idx="3098" formatCode="#,##0">
                  <c:v>6350</c:v>
                </c:pt>
                <c:pt idx="3099" formatCode="#,##0">
                  <c:v>6350</c:v>
                </c:pt>
                <c:pt idx="3100" formatCode="#,##0">
                  <c:v>6350</c:v>
                </c:pt>
                <c:pt idx="3101" formatCode="#,##0">
                  <c:v>6350</c:v>
                </c:pt>
                <c:pt idx="3102" formatCode="#,##0">
                  <c:v>6350</c:v>
                </c:pt>
                <c:pt idx="3103" formatCode="#,##0">
                  <c:v>6350</c:v>
                </c:pt>
                <c:pt idx="3104" formatCode="#,##0">
                  <c:v>6350</c:v>
                </c:pt>
                <c:pt idx="3105" formatCode="#,##0">
                  <c:v>6350</c:v>
                </c:pt>
                <c:pt idx="3106" formatCode="#,##0">
                  <c:v>6350</c:v>
                </c:pt>
                <c:pt idx="3107" formatCode="#,##0">
                  <c:v>6350</c:v>
                </c:pt>
                <c:pt idx="3108" formatCode="#,##0">
                  <c:v>6350</c:v>
                </c:pt>
                <c:pt idx="3109" formatCode="#,##0">
                  <c:v>6350</c:v>
                </c:pt>
                <c:pt idx="3110" formatCode="#,##0">
                  <c:v>6350</c:v>
                </c:pt>
                <c:pt idx="3111" formatCode="#,##0">
                  <c:v>6350</c:v>
                </c:pt>
                <c:pt idx="3112" formatCode="#,##0">
                  <c:v>6350</c:v>
                </c:pt>
                <c:pt idx="3113" formatCode="#,##0">
                  <c:v>6350</c:v>
                </c:pt>
                <c:pt idx="3114" formatCode="#,##0">
                  <c:v>6350</c:v>
                </c:pt>
                <c:pt idx="3115" formatCode="#,##0">
                  <c:v>6350</c:v>
                </c:pt>
                <c:pt idx="3116" formatCode="#,##0">
                  <c:v>6350</c:v>
                </c:pt>
                <c:pt idx="3117" formatCode="#,##0">
                  <c:v>6350</c:v>
                </c:pt>
                <c:pt idx="3118" formatCode="#,##0">
                  <c:v>6350</c:v>
                </c:pt>
                <c:pt idx="3119" formatCode="#,##0">
                  <c:v>6350</c:v>
                </c:pt>
                <c:pt idx="3120" formatCode="#,##0">
                  <c:v>6350</c:v>
                </c:pt>
                <c:pt idx="3121" formatCode="#,##0">
                  <c:v>6350</c:v>
                </c:pt>
                <c:pt idx="3122" formatCode="#,##0">
                  <c:v>6350</c:v>
                </c:pt>
                <c:pt idx="3123" formatCode="#,##0">
                  <c:v>6350</c:v>
                </c:pt>
                <c:pt idx="3124" formatCode="#,##0">
                  <c:v>6350</c:v>
                </c:pt>
                <c:pt idx="3125" formatCode="#,##0">
                  <c:v>6350</c:v>
                </c:pt>
                <c:pt idx="3126" formatCode="#,##0">
                  <c:v>6350</c:v>
                </c:pt>
                <c:pt idx="3127" formatCode="#,##0">
                  <c:v>6350</c:v>
                </c:pt>
                <c:pt idx="3128" formatCode="#,##0">
                  <c:v>6350</c:v>
                </c:pt>
                <c:pt idx="3129" formatCode="#,##0">
                  <c:v>6350</c:v>
                </c:pt>
                <c:pt idx="3130" formatCode="#,##0">
                  <c:v>6350</c:v>
                </c:pt>
                <c:pt idx="3131" formatCode="#,##0">
                  <c:v>6350</c:v>
                </c:pt>
                <c:pt idx="3132" formatCode="#,##0">
                  <c:v>6350</c:v>
                </c:pt>
                <c:pt idx="3133" formatCode="#,##0">
                  <c:v>6350</c:v>
                </c:pt>
                <c:pt idx="3134" formatCode="#,##0">
                  <c:v>6350</c:v>
                </c:pt>
                <c:pt idx="3135" formatCode="#,##0">
                  <c:v>6350</c:v>
                </c:pt>
                <c:pt idx="3136" formatCode="#,##0">
                  <c:v>6350</c:v>
                </c:pt>
                <c:pt idx="3137" formatCode="#,##0">
                  <c:v>6350</c:v>
                </c:pt>
                <c:pt idx="3138" formatCode="#,##0">
                  <c:v>6350</c:v>
                </c:pt>
                <c:pt idx="3139" formatCode="#,##0">
                  <c:v>6350</c:v>
                </c:pt>
                <c:pt idx="3140" formatCode="#,##0">
                  <c:v>6350</c:v>
                </c:pt>
                <c:pt idx="3141" formatCode="#,##0">
                  <c:v>6350</c:v>
                </c:pt>
                <c:pt idx="3142" formatCode="#,##0">
                  <c:v>6350</c:v>
                </c:pt>
                <c:pt idx="3143" formatCode="#,##0">
                  <c:v>6350</c:v>
                </c:pt>
                <c:pt idx="3144" formatCode="#,##0">
                  <c:v>6350</c:v>
                </c:pt>
                <c:pt idx="3145" formatCode="#,##0">
                  <c:v>6350</c:v>
                </c:pt>
                <c:pt idx="3146" formatCode="#,##0">
                  <c:v>6350</c:v>
                </c:pt>
                <c:pt idx="3147" formatCode="#,##0">
                  <c:v>6350</c:v>
                </c:pt>
                <c:pt idx="3148" formatCode="#,##0">
                  <c:v>6350</c:v>
                </c:pt>
                <c:pt idx="3149" formatCode="#,##0">
                  <c:v>6650</c:v>
                </c:pt>
                <c:pt idx="3150" formatCode="#,##0">
                  <c:v>6650</c:v>
                </c:pt>
                <c:pt idx="3151" formatCode="#,##0">
                  <c:v>6650</c:v>
                </c:pt>
                <c:pt idx="3152" formatCode="#,##0">
                  <c:v>6650</c:v>
                </c:pt>
                <c:pt idx="3153" formatCode="#,##0">
                  <c:v>6650</c:v>
                </c:pt>
                <c:pt idx="3154" formatCode="#,##0">
                  <c:v>6650</c:v>
                </c:pt>
                <c:pt idx="3155" formatCode="#,##0">
                  <c:v>6650</c:v>
                </c:pt>
                <c:pt idx="3156" formatCode="#,##0">
                  <c:v>6650</c:v>
                </c:pt>
                <c:pt idx="3157" formatCode="#,##0">
                  <c:v>6650</c:v>
                </c:pt>
                <c:pt idx="3158" formatCode="#,##0">
                  <c:v>6650</c:v>
                </c:pt>
                <c:pt idx="3159" formatCode="#,##0">
                  <c:v>6650</c:v>
                </c:pt>
                <c:pt idx="3160" formatCode="#,##0">
                  <c:v>6650</c:v>
                </c:pt>
                <c:pt idx="3161" formatCode="#,##0">
                  <c:v>6650</c:v>
                </c:pt>
                <c:pt idx="3162" formatCode="#,##0">
                  <c:v>6650</c:v>
                </c:pt>
                <c:pt idx="3163" formatCode="#,##0">
                  <c:v>6650</c:v>
                </c:pt>
                <c:pt idx="3164" formatCode="#,##0">
                  <c:v>6650</c:v>
                </c:pt>
                <c:pt idx="3165" formatCode="#,##0">
                  <c:v>6650</c:v>
                </c:pt>
                <c:pt idx="3166" formatCode="#,##0">
                  <c:v>6650</c:v>
                </c:pt>
                <c:pt idx="3167" formatCode="#,##0">
                  <c:v>6650</c:v>
                </c:pt>
                <c:pt idx="3168" formatCode="#,##0">
                  <c:v>6650</c:v>
                </c:pt>
                <c:pt idx="3169" formatCode="#,##0">
                  <c:v>6650</c:v>
                </c:pt>
                <c:pt idx="3170" formatCode="#,##0">
                  <c:v>6650</c:v>
                </c:pt>
                <c:pt idx="3171" formatCode="#,##0">
                  <c:v>6650</c:v>
                </c:pt>
                <c:pt idx="3172" formatCode="#,##0">
                  <c:v>6650</c:v>
                </c:pt>
                <c:pt idx="3173" formatCode="#,##0">
                  <c:v>6650</c:v>
                </c:pt>
                <c:pt idx="3174" formatCode="#,##0">
                  <c:v>6650</c:v>
                </c:pt>
                <c:pt idx="3175" formatCode="#,##0">
                  <c:v>6650</c:v>
                </c:pt>
                <c:pt idx="3176" formatCode="#,##0">
                  <c:v>6650</c:v>
                </c:pt>
                <c:pt idx="3177" formatCode="#,##0">
                  <c:v>6650</c:v>
                </c:pt>
                <c:pt idx="3178" formatCode="#,##0">
                  <c:v>6650</c:v>
                </c:pt>
                <c:pt idx="3179" formatCode="#,##0">
                  <c:v>6650</c:v>
                </c:pt>
                <c:pt idx="3180" formatCode="#,##0">
                  <c:v>6650</c:v>
                </c:pt>
                <c:pt idx="3181" formatCode="#,##0">
                  <c:v>6650</c:v>
                </c:pt>
                <c:pt idx="3182" formatCode="#,##0">
                  <c:v>6650</c:v>
                </c:pt>
                <c:pt idx="3183" formatCode="#,##0">
                  <c:v>6650</c:v>
                </c:pt>
                <c:pt idx="3184" formatCode="#,##0">
                  <c:v>6650</c:v>
                </c:pt>
                <c:pt idx="3185" formatCode="#,##0">
                  <c:v>6650</c:v>
                </c:pt>
                <c:pt idx="3186" formatCode="#,##0">
                  <c:v>6650</c:v>
                </c:pt>
                <c:pt idx="3187" formatCode="#,##0">
                  <c:v>6650</c:v>
                </c:pt>
                <c:pt idx="3188" formatCode="#,##0">
                  <c:v>6650</c:v>
                </c:pt>
                <c:pt idx="3189" formatCode="#,##0">
                  <c:v>6650</c:v>
                </c:pt>
                <c:pt idx="3190" formatCode="#,##0">
                  <c:v>6650</c:v>
                </c:pt>
                <c:pt idx="3191" formatCode="#,##0">
                  <c:v>6650</c:v>
                </c:pt>
                <c:pt idx="3192" formatCode="#,##0">
                  <c:v>6650</c:v>
                </c:pt>
                <c:pt idx="3193" formatCode="#,##0">
                  <c:v>6650</c:v>
                </c:pt>
                <c:pt idx="3194" formatCode="#,##0">
                  <c:v>6650</c:v>
                </c:pt>
                <c:pt idx="3195" formatCode="#,##0">
                  <c:v>6650</c:v>
                </c:pt>
                <c:pt idx="3196" formatCode="#,##0">
                  <c:v>6650</c:v>
                </c:pt>
                <c:pt idx="3197" formatCode="#,##0">
                  <c:v>6650</c:v>
                </c:pt>
                <c:pt idx="3198" formatCode="#,##0">
                  <c:v>6650</c:v>
                </c:pt>
                <c:pt idx="3199" formatCode="#,##0">
                  <c:v>6650</c:v>
                </c:pt>
                <c:pt idx="3200" formatCode="#,##0">
                  <c:v>6650</c:v>
                </c:pt>
                <c:pt idx="3201" formatCode="#,##0">
                  <c:v>6650</c:v>
                </c:pt>
                <c:pt idx="3202" formatCode="#,##0">
                  <c:v>6650</c:v>
                </c:pt>
                <c:pt idx="3203" formatCode="#,##0">
                  <c:v>6950</c:v>
                </c:pt>
                <c:pt idx="3204" formatCode="#,##0">
                  <c:v>6950</c:v>
                </c:pt>
                <c:pt idx="3205" formatCode="#,##0">
                  <c:v>6950</c:v>
                </c:pt>
                <c:pt idx="3206" formatCode="#,##0">
                  <c:v>6950</c:v>
                </c:pt>
                <c:pt idx="3207" formatCode="#,##0">
                  <c:v>6950</c:v>
                </c:pt>
                <c:pt idx="3208" formatCode="#,##0">
                  <c:v>6950</c:v>
                </c:pt>
                <c:pt idx="3209" formatCode="#,##0">
                  <c:v>6950</c:v>
                </c:pt>
                <c:pt idx="3210" formatCode="#,##0">
                  <c:v>6950</c:v>
                </c:pt>
                <c:pt idx="3211" formatCode="#,##0">
                  <c:v>6950</c:v>
                </c:pt>
                <c:pt idx="3212" formatCode="#,##0">
                  <c:v>6950</c:v>
                </c:pt>
                <c:pt idx="3213" formatCode="#,##0">
                  <c:v>6950</c:v>
                </c:pt>
                <c:pt idx="3214" formatCode="#,##0">
                  <c:v>6950</c:v>
                </c:pt>
                <c:pt idx="3215" formatCode="#,##0">
                  <c:v>6950</c:v>
                </c:pt>
                <c:pt idx="3216" formatCode="#,##0">
                  <c:v>6950</c:v>
                </c:pt>
                <c:pt idx="3217" formatCode="#,##0">
                  <c:v>6950</c:v>
                </c:pt>
                <c:pt idx="3218" formatCode="#,##0">
                  <c:v>6950</c:v>
                </c:pt>
                <c:pt idx="3219" formatCode="#,##0">
                  <c:v>6950</c:v>
                </c:pt>
                <c:pt idx="3220" formatCode="#,##0">
                  <c:v>6950</c:v>
                </c:pt>
                <c:pt idx="3221" formatCode="#,##0">
                  <c:v>6950</c:v>
                </c:pt>
                <c:pt idx="3222" formatCode="#,##0">
                  <c:v>6950</c:v>
                </c:pt>
                <c:pt idx="3223" formatCode="#,##0">
                  <c:v>6950</c:v>
                </c:pt>
                <c:pt idx="3224" formatCode="#,##0">
                  <c:v>6950</c:v>
                </c:pt>
                <c:pt idx="3225" formatCode="#,##0">
                  <c:v>6950</c:v>
                </c:pt>
                <c:pt idx="3226" formatCode="#,##0">
                  <c:v>6950</c:v>
                </c:pt>
                <c:pt idx="3227" formatCode="#,##0">
                  <c:v>6950</c:v>
                </c:pt>
                <c:pt idx="3228" formatCode="#,##0">
                  <c:v>6950</c:v>
                </c:pt>
                <c:pt idx="3229" formatCode="#,##0">
                  <c:v>6950</c:v>
                </c:pt>
                <c:pt idx="3230" formatCode="#,##0">
                  <c:v>6950</c:v>
                </c:pt>
                <c:pt idx="3231" formatCode="#,##0">
                  <c:v>6950</c:v>
                </c:pt>
                <c:pt idx="3232" formatCode="#,##0">
                  <c:v>6950</c:v>
                </c:pt>
                <c:pt idx="3233" formatCode="#,##0">
                  <c:v>6950</c:v>
                </c:pt>
                <c:pt idx="3234" formatCode="#,##0">
                  <c:v>6950</c:v>
                </c:pt>
                <c:pt idx="3235" formatCode="#,##0">
                  <c:v>6950</c:v>
                </c:pt>
                <c:pt idx="3236" formatCode="#,##0">
                  <c:v>6950</c:v>
                </c:pt>
                <c:pt idx="3237" formatCode="#,##0">
                  <c:v>6950</c:v>
                </c:pt>
                <c:pt idx="3238" formatCode="#,##0">
                  <c:v>7250</c:v>
                </c:pt>
                <c:pt idx="3239" formatCode="#,##0">
                  <c:v>7250</c:v>
                </c:pt>
                <c:pt idx="3240" formatCode="#,##0">
                  <c:v>7250</c:v>
                </c:pt>
                <c:pt idx="3241" formatCode="#,##0">
                  <c:v>7250</c:v>
                </c:pt>
                <c:pt idx="3242" formatCode="#,##0">
                  <c:v>7250</c:v>
                </c:pt>
                <c:pt idx="3243" formatCode="#,##0">
                  <c:v>7250</c:v>
                </c:pt>
                <c:pt idx="3244" formatCode="#,##0">
                  <c:v>7250</c:v>
                </c:pt>
                <c:pt idx="3245" formatCode="#,##0">
                  <c:v>7250</c:v>
                </c:pt>
                <c:pt idx="3246" formatCode="#,##0">
                  <c:v>7250</c:v>
                </c:pt>
                <c:pt idx="3247" formatCode="#,##0">
                  <c:v>7250</c:v>
                </c:pt>
                <c:pt idx="3248" formatCode="#,##0">
                  <c:v>7250</c:v>
                </c:pt>
                <c:pt idx="3249" formatCode="#,##0">
                  <c:v>7250</c:v>
                </c:pt>
                <c:pt idx="3250" formatCode="#,##0">
                  <c:v>7250</c:v>
                </c:pt>
                <c:pt idx="3251" formatCode="#,##0">
                  <c:v>7250</c:v>
                </c:pt>
                <c:pt idx="3252" formatCode="#,##0">
                  <c:v>7250</c:v>
                </c:pt>
                <c:pt idx="3253" formatCode="#,##0">
                  <c:v>7250</c:v>
                </c:pt>
                <c:pt idx="3254" formatCode="#,##0">
                  <c:v>7250</c:v>
                </c:pt>
                <c:pt idx="3255" formatCode="#,##0">
                  <c:v>7250</c:v>
                </c:pt>
                <c:pt idx="3256" formatCode="#,##0">
                  <c:v>7250</c:v>
                </c:pt>
                <c:pt idx="3257" formatCode="#,##0">
                  <c:v>7250</c:v>
                </c:pt>
                <c:pt idx="3258" formatCode="#,##0">
                  <c:v>7250</c:v>
                </c:pt>
                <c:pt idx="3259" formatCode="#,##0">
                  <c:v>7250</c:v>
                </c:pt>
                <c:pt idx="3260" formatCode="#,##0">
                  <c:v>7250</c:v>
                </c:pt>
                <c:pt idx="3261" formatCode="#,##0">
                  <c:v>7250</c:v>
                </c:pt>
                <c:pt idx="3262" formatCode="#,##0">
                  <c:v>7250</c:v>
                </c:pt>
                <c:pt idx="3263" formatCode="#,##0">
                  <c:v>7250</c:v>
                </c:pt>
                <c:pt idx="3264" formatCode="#,##0">
                  <c:v>7250</c:v>
                </c:pt>
                <c:pt idx="3265" formatCode="#,##0">
                  <c:v>7250</c:v>
                </c:pt>
                <c:pt idx="3266" formatCode="#,##0">
                  <c:v>7250</c:v>
                </c:pt>
                <c:pt idx="3267" formatCode="#,##0">
                  <c:v>7250</c:v>
                </c:pt>
                <c:pt idx="3268" formatCode="#,##0">
                  <c:v>7250</c:v>
                </c:pt>
                <c:pt idx="3269" formatCode="#,##0">
                  <c:v>7250</c:v>
                </c:pt>
                <c:pt idx="3270" formatCode="#,##0">
                  <c:v>7250</c:v>
                </c:pt>
                <c:pt idx="3271" formatCode="#,##0">
                  <c:v>7250</c:v>
                </c:pt>
                <c:pt idx="3272" formatCode="#,##0">
                  <c:v>7550</c:v>
                </c:pt>
                <c:pt idx="3273" formatCode="#,##0">
                  <c:v>7550</c:v>
                </c:pt>
                <c:pt idx="3274" formatCode="#,##0">
                  <c:v>7550</c:v>
                </c:pt>
                <c:pt idx="3275" formatCode="#,##0">
                  <c:v>7550</c:v>
                </c:pt>
                <c:pt idx="3276" formatCode="#,##0">
                  <c:v>7550</c:v>
                </c:pt>
                <c:pt idx="3277" formatCode="#,##0">
                  <c:v>7550</c:v>
                </c:pt>
                <c:pt idx="3278" formatCode="#,##0">
                  <c:v>7550</c:v>
                </c:pt>
                <c:pt idx="3279" formatCode="#,##0">
                  <c:v>7550</c:v>
                </c:pt>
                <c:pt idx="3280" formatCode="#,##0">
                  <c:v>7550</c:v>
                </c:pt>
                <c:pt idx="3281" formatCode="#,##0">
                  <c:v>7550</c:v>
                </c:pt>
                <c:pt idx="3282" formatCode="#,##0">
                  <c:v>7550</c:v>
                </c:pt>
                <c:pt idx="3283" formatCode="#,##0">
                  <c:v>7550</c:v>
                </c:pt>
                <c:pt idx="3284" formatCode="#,##0">
                  <c:v>7550</c:v>
                </c:pt>
                <c:pt idx="3285" formatCode="#,##0">
                  <c:v>7550</c:v>
                </c:pt>
                <c:pt idx="3286" formatCode="#,##0">
                  <c:v>7550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0D-49B0-B39D-1B2F98452C2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1-9A0D-49B0-B39D-1B2F98452C2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9A0D-49B0-B39D-1B2F98452C2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3-9A0D-49B0-B39D-1B2F98452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0676943"/>
        <c:axId val="1345420351"/>
      </c:scatterChart>
      <c:valAx>
        <c:axId val="1340676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45420351"/>
        <c:crosses val="autoZero"/>
        <c:crossBetween val="midCat"/>
      </c:valAx>
      <c:valAx>
        <c:axId val="1345420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406769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PlanoYZ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Hoja3!$B:$B</c:f>
              <c:strCache>
                <c:ptCount val="3287"/>
                <c:pt idx="0">
                  <c:v>0.000</c:v>
                </c:pt>
                <c:pt idx="1">
                  <c:v>14.124</c:v>
                </c:pt>
                <c:pt idx="2">
                  <c:v>14.032</c:v>
                </c:pt>
                <c:pt idx="3">
                  <c:v>13.598</c:v>
                </c:pt>
                <c:pt idx="4">
                  <c:v>12.422</c:v>
                </c:pt>
                <c:pt idx="5">
                  <c:v>10.645</c:v>
                </c:pt>
                <c:pt idx="6">
                  <c:v>7.366</c:v>
                </c:pt>
                <c:pt idx="7">
                  <c:v>-3.434</c:v>
                </c:pt>
                <c:pt idx="8">
                  <c:v>-7.700</c:v>
                </c:pt>
                <c:pt idx="9">
                  <c:v>-9.952</c:v>
                </c:pt>
                <c:pt idx="10">
                  <c:v>-11.921</c:v>
                </c:pt>
                <c:pt idx="11">
                  <c:v>-13.371</c:v>
                </c:pt>
                <c:pt idx="12">
                  <c:v>-14.216</c:v>
                </c:pt>
                <c:pt idx="13">
                  <c:v>-14.124</c:v>
                </c:pt>
                <c:pt idx="14">
                  <c:v>-14.032</c:v>
                </c:pt>
                <c:pt idx="15">
                  <c:v>-13.598</c:v>
                </c:pt>
                <c:pt idx="16">
                  <c:v>-12.422</c:v>
                </c:pt>
                <c:pt idx="17">
                  <c:v>-10.645</c:v>
                </c:pt>
                <c:pt idx="18">
                  <c:v>-7.366</c:v>
                </c:pt>
                <c:pt idx="19">
                  <c:v>3.434</c:v>
                </c:pt>
                <c:pt idx="20">
                  <c:v>7.699</c:v>
                </c:pt>
                <c:pt idx="21">
                  <c:v>9.952</c:v>
                </c:pt>
                <c:pt idx="22">
                  <c:v>11.921</c:v>
                </c:pt>
                <c:pt idx="23">
                  <c:v>13.371</c:v>
                </c:pt>
                <c:pt idx="24">
                  <c:v>14.216</c:v>
                </c:pt>
                <c:pt idx="25">
                  <c:v>14.125</c:v>
                </c:pt>
                <c:pt idx="26">
                  <c:v>5.394</c:v>
                </c:pt>
                <c:pt idx="27">
                  <c:v>1.906</c:v>
                </c:pt>
                <c:pt idx="28">
                  <c:v>-2.050</c:v>
                </c:pt>
                <c:pt idx="29">
                  <c:v>-5.554</c:v>
                </c:pt>
                <c:pt idx="30">
                  <c:v>-5.475</c:v>
                </c:pt>
                <c:pt idx="31">
                  <c:v>-5.475</c:v>
                </c:pt>
                <c:pt idx="32">
                  <c:v>-5.394</c:v>
                </c:pt>
                <c:pt idx="33">
                  <c:v>-1.906</c:v>
                </c:pt>
                <c:pt idx="34">
                  <c:v>2.050</c:v>
                </c:pt>
                <c:pt idx="35">
                  <c:v>5.554</c:v>
                </c:pt>
                <c:pt idx="36">
                  <c:v>5.475</c:v>
                </c:pt>
                <c:pt idx="37">
                  <c:v>5.475</c:v>
                </c:pt>
                <c:pt idx="38">
                  <c:v>5.396</c:v>
                </c:pt>
                <c:pt idx="39">
                  <c:v>4.779</c:v>
                </c:pt>
                <c:pt idx="40">
                  <c:v>1.911</c:v>
                </c:pt>
                <c:pt idx="41">
                  <c:v>-2.045</c:v>
                </c:pt>
                <c:pt idx="42">
                  <c:v>-4.919</c:v>
                </c:pt>
                <c:pt idx="43">
                  <c:v>-4.850</c:v>
                </c:pt>
                <c:pt idx="44">
                  <c:v>-4.850</c:v>
                </c:pt>
                <c:pt idx="45">
                  <c:v>-4.779</c:v>
                </c:pt>
                <c:pt idx="46">
                  <c:v>-1.911</c:v>
                </c:pt>
                <c:pt idx="47">
                  <c:v>2.045</c:v>
                </c:pt>
                <c:pt idx="48">
                  <c:v>4.919</c:v>
                </c:pt>
                <c:pt idx="49">
                  <c:v>4.850</c:v>
                </c:pt>
                <c:pt idx="50">
                  <c:v>4.850</c:v>
                </c:pt>
                <c:pt idx="51">
                  <c:v>4.781</c:v>
                </c:pt>
                <c:pt idx="52">
                  <c:v>4.769</c:v>
                </c:pt>
                <c:pt idx="53">
                  <c:v>6.449</c:v>
                </c:pt>
                <c:pt idx="54">
                  <c:v>3.216</c:v>
                </c:pt>
                <c:pt idx="55">
                  <c:v>-3.384</c:v>
                </c:pt>
                <c:pt idx="56">
                  <c:v>-6.600</c:v>
                </c:pt>
                <c:pt idx="57">
                  <c:v>-6.525</c:v>
                </c:pt>
                <c:pt idx="58">
                  <c:v>-6.525</c:v>
                </c:pt>
                <c:pt idx="59">
                  <c:v>-6.449</c:v>
                </c:pt>
                <c:pt idx="60">
                  <c:v>-3.216</c:v>
                </c:pt>
                <c:pt idx="61">
                  <c:v>3.384</c:v>
                </c:pt>
                <c:pt idx="62">
                  <c:v>6.600</c:v>
                </c:pt>
                <c:pt idx="63">
                  <c:v>6.525</c:v>
                </c:pt>
                <c:pt idx="64">
                  <c:v>6.525</c:v>
                </c:pt>
                <c:pt idx="65">
                  <c:v>6.451</c:v>
                </c:pt>
                <c:pt idx="66">
                  <c:v>7.064</c:v>
                </c:pt>
                <c:pt idx="67">
                  <c:v>3.211</c:v>
                </c:pt>
                <c:pt idx="68">
                  <c:v>-3.389</c:v>
                </c:pt>
                <c:pt idx="69">
                  <c:v>-7.235</c:v>
                </c:pt>
                <c:pt idx="70">
                  <c:v>-7.149</c:v>
                </c:pt>
                <c:pt idx="71">
                  <c:v>-7.149</c:v>
                </c:pt>
                <c:pt idx="72">
                  <c:v>-7.064</c:v>
                </c:pt>
                <c:pt idx="73">
                  <c:v>-3.211</c:v>
                </c:pt>
                <c:pt idx="74">
                  <c:v>3.389</c:v>
                </c:pt>
                <c:pt idx="75">
                  <c:v>7.235</c:v>
                </c:pt>
                <c:pt idx="76">
                  <c:v>7.149</c:v>
                </c:pt>
                <c:pt idx="77">
                  <c:v>7.149</c:v>
                </c:pt>
                <c:pt idx="78">
                  <c:v>7.066</c:v>
                </c:pt>
                <c:pt idx="79">
                  <c:v>6.376</c:v>
                </c:pt>
                <c:pt idx="80">
                  <c:v>5.698</c:v>
                </c:pt>
                <c:pt idx="81">
                  <c:v>1.901</c:v>
                </c:pt>
                <c:pt idx="82">
                  <c:v>-3.379</c:v>
                </c:pt>
                <c:pt idx="83">
                  <c:v>-5.876</c:v>
                </c:pt>
                <c:pt idx="84">
                  <c:v>-6.028</c:v>
                </c:pt>
                <c:pt idx="85">
                  <c:v>-6.074</c:v>
                </c:pt>
                <c:pt idx="86">
                  <c:v>-6.000</c:v>
                </c:pt>
                <c:pt idx="87">
                  <c:v>-6.000</c:v>
                </c:pt>
                <c:pt idx="88">
                  <c:v>-5.925</c:v>
                </c:pt>
                <c:pt idx="89">
                  <c:v>-5.896</c:v>
                </c:pt>
                <c:pt idx="90">
                  <c:v>-5.698</c:v>
                </c:pt>
                <c:pt idx="91">
                  <c:v>-1.901</c:v>
                </c:pt>
                <c:pt idx="92">
                  <c:v>2.056</c:v>
                </c:pt>
                <c:pt idx="93">
                  <c:v>5.875</c:v>
                </c:pt>
                <c:pt idx="94">
                  <c:v>6.029</c:v>
                </c:pt>
                <c:pt idx="95">
                  <c:v>6.074</c:v>
                </c:pt>
                <c:pt idx="96">
                  <c:v>6.000</c:v>
                </c:pt>
                <c:pt idx="97">
                  <c:v>5.989</c:v>
                </c:pt>
                <c:pt idx="98">
                  <c:v>5.925</c:v>
                </c:pt>
                <c:pt idx="99">
                  <c:v>5.896</c:v>
                </c:pt>
                <c:pt idx="100">
                  <c:v>5.815</c:v>
                </c:pt>
                <c:pt idx="101">
                  <c:v>5.815</c:v>
                </c:pt>
                <c:pt idx="102">
                  <c:v>5.228</c:v>
                </c:pt>
                <c:pt idx="103">
                  <c:v>-4.593</c:v>
                </c:pt>
                <c:pt idx="104">
                  <c:v>-5.859</c:v>
                </c:pt>
                <c:pt idx="105">
                  <c:v>-5.228</c:v>
                </c:pt>
                <c:pt idx="106">
                  <c:v>5.860</c:v>
                </c:pt>
                <c:pt idx="107">
                  <c:v>5.232</c:v>
                </c:pt>
                <c:pt idx="108">
                  <c:v>4.605</c:v>
                </c:pt>
                <c:pt idx="109">
                  <c:v>-5.186</c:v>
                </c:pt>
                <c:pt idx="110">
                  <c:v>-4.605</c:v>
                </c:pt>
                <c:pt idx="111">
                  <c:v>5.186</c:v>
                </c:pt>
                <c:pt idx="112">
                  <c:v>4.610</c:v>
                </c:pt>
                <c:pt idx="113">
                  <c:v>4.730</c:v>
                </c:pt>
                <c:pt idx="114">
                  <c:v>6.095</c:v>
                </c:pt>
                <c:pt idx="115">
                  <c:v>-6.800</c:v>
                </c:pt>
                <c:pt idx="116">
                  <c:v>-6.095</c:v>
                </c:pt>
                <c:pt idx="117">
                  <c:v>6.798</c:v>
                </c:pt>
                <c:pt idx="118">
                  <c:v>6.100</c:v>
                </c:pt>
                <c:pt idx="119">
                  <c:v>6.717</c:v>
                </c:pt>
                <c:pt idx="120">
                  <c:v>-7.474</c:v>
                </c:pt>
                <c:pt idx="121">
                  <c:v>-6.717</c:v>
                </c:pt>
                <c:pt idx="122">
                  <c:v>7.471</c:v>
                </c:pt>
                <c:pt idx="123">
                  <c:v>6.722</c:v>
                </c:pt>
                <c:pt idx="124">
                  <c:v>5.966</c:v>
                </c:pt>
                <c:pt idx="125">
                  <c:v>5.544</c:v>
                </c:pt>
                <c:pt idx="126">
                  <c:v>-4.612</c:v>
                </c:pt>
                <c:pt idx="127">
                  <c:v>-6.212</c:v>
                </c:pt>
                <c:pt idx="128">
                  <c:v>-6.304</c:v>
                </c:pt>
                <c:pt idx="129">
                  <c:v>-6.325</c:v>
                </c:pt>
                <c:pt idx="130">
                  <c:v>-5.666</c:v>
                </c:pt>
                <c:pt idx="131">
                  <c:v>-5.642</c:v>
                </c:pt>
                <c:pt idx="132">
                  <c:v>-5.544</c:v>
                </c:pt>
                <c:pt idx="133">
                  <c:v>6.211</c:v>
                </c:pt>
                <c:pt idx="134">
                  <c:v>6.308</c:v>
                </c:pt>
                <c:pt idx="135">
                  <c:v>6.324</c:v>
                </c:pt>
                <c:pt idx="136">
                  <c:v>5.666</c:v>
                </c:pt>
                <c:pt idx="137">
                  <c:v>5.647</c:v>
                </c:pt>
                <c:pt idx="138">
                  <c:v>5.647</c:v>
                </c:pt>
                <c:pt idx="139">
                  <c:v>4.877</c:v>
                </c:pt>
                <c:pt idx="140">
                  <c:v>-6.182</c:v>
                </c:pt>
                <c:pt idx="141">
                  <c:v>-4.877</c:v>
                </c:pt>
                <c:pt idx="142">
                  <c:v>6.182</c:v>
                </c:pt>
                <c:pt idx="143">
                  <c:v>4.887</c:v>
                </c:pt>
                <c:pt idx="144">
                  <c:v>4.283</c:v>
                </c:pt>
                <c:pt idx="145">
                  <c:v>-5.483</c:v>
                </c:pt>
                <c:pt idx="146">
                  <c:v>-4.283</c:v>
                </c:pt>
                <c:pt idx="147">
                  <c:v>5.483</c:v>
                </c:pt>
                <c:pt idx="148">
                  <c:v>4.293</c:v>
                </c:pt>
                <c:pt idx="149">
                  <c:v>4.374</c:v>
                </c:pt>
                <c:pt idx="150">
                  <c:v>5.705</c:v>
                </c:pt>
                <c:pt idx="151">
                  <c:v>-7.156</c:v>
                </c:pt>
                <c:pt idx="152">
                  <c:v>-5.705</c:v>
                </c:pt>
                <c:pt idx="153">
                  <c:v>7.156</c:v>
                </c:pt>
                <c:pt idx="154">
                  <c:v>5.714</c:v>
                </c:pt>
                <c:pt idx="155">
                  <c:v>6.298</c:v>
                </c:pt>
                <c:pt idx="156">
                  <c:v>-7.855</c:v>
                </c:pt>
                <c:pt idx="157">
                  <c:v>-6.298</c:v>
                </c:pt>
                <c:pt idx="158">
                  <c:v>7.855</c:v>
                </c:pt>
                <c:pt idx="159">
                  <c:v>6.308</c:v>
                </c:pt>
                <c:pt idx="160">
                  <c:v>5.559</c:v>
                </c:pt>
                <c:pt idx="161">
                  <c:v>5.173</c:v>
                </c:pt>
                <c:pt idx="162">
                  <c:v>-6.552</c:v>
                </c:pt>
                <c:pt idx="163">
                  <c:v>-6.646</c:v>
                </c:pt>
                <c:pt idx="164">
                  <c:v>-6.659</c:v>
                </c:pt>
                <c:pt idx="165">
                  <c:v>-5.300</c:v>
                </c:pt>
                <c:pt idx="166">
                  <c:v>-5.272</c:v>
                </c:pt>
                <c:pt idx="167">
                  <c:v>-5.173</c:v>
                </c:pt>
                <c:pt idx="168">
                  <c:v>6.552</c:v>
                </c:pt>
                <c:pt idx="169">
                  <c:v>6.647</c:v>
                </c:pt>
                <c:pt idx="170">
                  <c:v>6.659</c:v>
                </c:pt>
                <c:pt idx="171">
                  <c:v>5.300</c:v>
                </c:pt>
                <c:pt idx="172">
                  <c:v>5.278</c:v>
                </c:pt>
                <c:pt idx="173">
                  <c:v>5.278</c:v>
                </c:pt>
                <c:pt idx="174">
                  <c:v>4.518</c:v>
                </c:pt>
                <c:pt idx="175">
                  <c:v>-6.495</c:v>
                </c:pt>
                <c:pt idx="176">
                  <c:v>-4.518</c:v>
                </c:pt>
                <c:pt idx="177">
                  <c:v>6.494</c:v>
                </c:pt>
                <c:pt idx="178">
                  <c:v>4.533</c:v>
                </c:pt>
                <c:pt idx="179">
                  <c:v>3.954</c:v>
                </c:pt>
                <c:pt idx="180">
                  <c:v>-5.771</c:v>
                </c:pt>
                <c:pt idx="181">
                  <c:v>-3.954</c:v>
                </c:pt>
                <c:pt idx="182">
                  <c:v>5.771</c:v>
                </c:pt>
                <c:pt idx="183">
                  <c:v>3.969</c:v>
                </c:pt>
                <c:pt idx="184">
                  <c:v>4.012</c:v>
                </c:pt>
                <c:pt idx="185">
                  <c:v>5.304</c:v>
                </c:pt>
                <c:pt idx="186">
                  <c:v>-7.499</c:v>
                </c:pt>
                <c:pt idx="187">
                  <c:v>-5.304</c:v>
                </c:pt>
                <c:pt idx="188">
                  <c:v>7.501</c:v>
                </c:pt>
                <c:pt idx="189">
                  <c:v>5.319</c:v>
                </c:pt>
                <c:pt idx="190">
                  <c:v>5.868</c:v>
                </c:pt>
                <c:pt idx="191">
                  <c:v>-8.222</c:v>
                </c:pt>
                <c:pt idx="192">
                  <c:v>-5.868</c:v>
                </c:pt>
                <c:pt idx="193">
                  <c:v>8.224</c:v>
                </c:pt>
                <c:pt idx="194">
                  <c:v>5.883</c:v>
                </c:pt>
                <c:pt idx="195">
                  <c:v>5.142</c:v>
                </c:pt>
                <c:pt idx="196">
                  <c:v>4.794</c:v>
                </c:pt>
                <c:pt idx="197">
                  <c:v>-6.881</c:v>
                </c:pt>
                <c:pt idx="198">
                  <c:v>-6.976</c:v>
                </c:pt>
                <c:pt idx="199">
                  <c:v>-6.983</c:v>
                </c:pt>
                <c:pt idx="200">
                  <c:v>-4.925</c:v>
                </c:pt>
                <c:pt idx="201">
                  <c:v>-4.893</c:v>
                </c:pt>
                <c:pt idx="202">
                  <c:v>-4.794</c:v>
                </c:pt>
                <c:pt idx="203">
                  <c:v>6.881</c:v>
                </c:pt>
                <c:pt idx="204">
                  <c:v>6.975</c:v>
                </c:pt>
                <c:pt idx="205">
                  <c:v>6.983</c:v>
                </c:pt>
                <c:pt idx="206">
                  <c:v>4.926</c:v>
                </c:pt>
                <c:pt idx="207">
                  <c:v>4.900</c:v>
                </c:pt>
                <c:pt idx="208">
                  <c:v>4.900</c:v>
                </c:pt>
                <c:pt idx="209">
                  <c:v>4.152</c:v>
                </c:pt>
                <c:pt idx="210">
                  <c:v>-6.794</c:v>
                </c:pt>
                <c:pt idx="211">
                  <c:v>-4.152</c:v>
                </c:pt>
                <c:pt idx="212">
                  <c:v>6.794</c:v>
                </c:pt>
                <c:pt idx="213">
                  <c:v>4.171</c:v>
                </c:pt>
                <c:pt idx="214">
                  <c:v>3.619</c:v>
                </c:pt>
                <c:pt idx="215">
                  <c:v>-6.048</c:v>
                </c:pt>
                <c:pt idx="216">
                  <c:v>-3.619</c:v>
                </c:pt>
                <c:pt idx="217">
                  <c:v>6.048</c:v>
                </c:pt>
                <c:pt idx="218">
                  <c:v>3.638</c:v>
                </c:pt>
                <c:pt idx="219">
                  <c:v>3.643</c:v>
                </c:pt>
                <c:pt idx="220">
                  <c:v>4.894</c:v>
                </c:pt>
                <c:pt idx="221">
                  <c:v>-7.833</c:v>
                </c:pt>
                <c:pt idx="222">
                  <c:v>-4.894</c:v>
                </c:pt>
                <c:pt idx="223">
                  <c:v>7.834</c:v>
                </c:pt>
                <c:pt idx="224">
                  <c:v>4.914</c:v>
                </c:pt>
                <c:pt idx="225">
                  <c:v>5.427</c:v>
                </c:pt>
                <c:pt idx="226">
                  <c:v>-8.579</c:v>
                </c:pt>
                <c:pt idx="227">
                  <c:v>-5.427</c:v>
                </c:pt>
                <c:pt idx="228">
                  <c:v>8.580</c:v>
                </c:pt>
                <c:pt idx="229">
                  <c:v>5.447</c:v>
                </c:pt>
                <c:pt idx="230">
                  <c:v>4.716</c:v>
                </c:pt>
                <c:pt idx="231">
                  <c:v>4.407</c:v>
                </c:pt>
                <c:pt idx="232">
                  <c:v>-7.198</c:v>
                </c:pt>
                <c:pt idx="233">
                  <c:v>-7.291</c:v>
                </c:pt>
                <c:pt idx="234">
                  <c:v>-7.294</c:v>
                </c:pt>
                <c:pt idx="235">
                  <c:v>-4.542</c:v>
                </c:pt>
                <c:pt idx="236">
                  <c:v>-4.506</c:v>
                </c:pt>
                <c:pt idx="237">
                  <c:v>-4.407</c:v>
                </c:pt>
                <c:pt idx="238">
                  <c:v>7.198</c:v>
                </c:pt>
                <c:pt idx="239">
                  <c:v>7.291</c:v>
                </c:pt>
                <c:pt idx="240">
                  <c:v>7.295</c:v>
                </c:pt>
                <c:pt idx="241">
                  <c:v>4.542</c:v>
                </c:pt>
                <c:pt idx="242">
                  <c:v>4.514</c:v>
                </c:pt>
                <c:pt idx="243">
                  <c:v>4.514</c:v>
                </c:pt>
                <c:pt idx="244">
                  <c:v>3.777</c:v>
                </c:pt>
                <c:pt idx="245">
                  <c:v>-7.081</c:v>
                </c:pt>
                <c:pt idx="246">
                  <c:v>-3.777</c:v>
                </c:pt>
                <c:pt idx="247">
                  <c:v>7.082</c:v>
                </c:pt>
                <c:pt idx="248">
                  <c:v>3.802</c:v>
                </c:pt>
                <c:pt idx="249">
                  <c:v>3.276</c:v>
                </c:pt>
                <c:pt idx="250">
                  <c:v>-6.314</c:v>
                </c:pt>
                <c:pt idx="251">
                  <c:v>-3.276</c:v>
                </c:pt>
                <c:pt idx="252">
                  <c:v>6.314</c:v>
                </c:pt>
                <c:pt idx="253">
                  <c:v>3.300</c:v>
                </c:pt>
                <c:pt idx="254">
                  <c:v>3.266</c:v>
                </c:pt>
                <c:pt idx="255">
                  <c:v>4.476</c:v>
                </c:pt>
                <c:pt idx="256">
                  <c:v>-8.153</c:v>
                </c:pt>
                <c:pt idx="257">
                  <c:v>-4.476</c:v>
                </c:pt>
                <c:pt idx="258">
                  <c:v>8.152</c:v>
                </c:pt>
                <c:pt idx="259">
                  <c:v>4.500</c:v>
                </c:pt>
                <c:pt idx="260">
                  <c:v>4.977</c:v>
                </c:pt>
                <c:pt idx="261">
                  <c:v>-8.921</c:v>
                </c:pt>
                <c:pt idx="262">
                  <c:v>-4.977</c:v>
                </c:pt>
                <c:pt idx="263">
                  <c:v>8.920</c:v>
                </c:pt>
                <c:pt idx="264">
                  <c:v>5.002</c:v>
                </c:pt>
                <c:pt idx="265">
                  <c:v>4.282</c:v>
                </c:pt>
                <c:pt idx="266">
                  <c:v>4.011</c:v>
                </c:pt>
                <c:pt idx="267">
                  <c:v>-5.801</c:v>
                </c:pt>
                <c:pt idx="268">
                  <c:v>-7.502</c:v>
                </c:pt>
                <c:pt idx="269">
                  <c:v>-7.590</c:v>
                </c:pt>
                <c:pt idx="270">
                  <c:v>-7.591</c:v>
                </c:pt>
                <c:pt idx="271">
                  <c:v>-4.151</c:v>
                </c:pt>
                <c:pt idx="272">
                  <c:v>-4.111</c:v>
                </c:pt>
                <c:pt idx="273">
                  <c:v>-4.011</c:v>
                </c:pt>
                <c:pt idx="274">
                  <c:v>7.502</c:v>
                </c:pt>
                <c:pt idx="275">
                  <c:v>7.593</c:v>
                </c:pt>
                <c:pt idx="276">
                  <c:v>7.593</c:v>
                </c:pt>
                <c:pt idx="277">
                  <c:v>4.151</c:v>
                </c:pt>
                <c:pt idx="278">
                  <c:v>4.119</c:v>
                </c:pt>
                <c:pt idx="279">
                  <c:v>4.119</c:v>
                </c:pt>
                <c:pt idx="280">
                  <c:v>3.396</c:v>
                </c:pt>
                <c:pt idx="281">
                  <c:v>-7.358</c:v>
                </c:pt>
                <c:pt idx="282">
                  <c:v>-3.396</c:v>
                </c:pt>
                <c:pt idx="283">
                  <c:v>7.358</c:v>
                </c:pt>
                <c:pt idx="284">
                  <c:v>3.426</c:v>
                </c:pt>
                <c:pt idx="285">
                  <c:v>2.927</c:v>
                </c:pt>
                <c:pt idx="286">
                  <c:v>-6.570</c:v>
                </c:pt>
                <c:pt idx="287">
                  <c:v>-2.927</c:v>
                </c:pt>
                <c:pt idx="288">
                  <c:v>6.570</c:v>
                </c:pt>
                <c:pt idx="289">
                  <c:v>2.957</c:v>
                </c:pt>
                <c:pt idx="290">
                  <c:v>2.884</c:v>
                </c:pt>
                <c:pt idx="291">
                  <c:v>4.050</c:v>
                </c:pt>
                <c:pt idx="292">
                  <c:v>-8.455</c:v>
                </c:pt>
                <c:pt idx="293">
                  <c:v>-4.050</c:v>
                </c:pt>
                <c:pt idx="294">
                  <c:v>8.456</c:v>
                </c:pt>
                <c:pt idx="295">
                  <c:v>4.079</c:v>
                </c:pt>
                <c:pt idx="296">
                  <c:v>4.518</c:v>
                </c:pt>
                <c:pt idx="297">
                  <c:v>-9.243</c:v>
                </c:pt>
                <c:pt idx="298">
                  <c:v>-4.518</c:v>
                </c:pt>
                <c:pt idx="299">
                  <c:v>9.244</c:v>
                </c:pt>
                <c:pt idx="300">
                  <c:v>4.548</c:v>
                </c:pt>
                <c:pt idx="301">
                  <c:v>3.841</c:v>
                </c:pt>
                <c:pt idx="302">
                  <c:v>3.609</c:v>
                </c:pt>
                <c:pt idx="303">
                  <c:v>-7.793</c:v>
                </c:pt>
                <c:pt idx="304">
                  <c:v>-7.883</c:v>
                </c:pt>
                <c:pt idx="305">
                  <c:v>-7.878</c:v>
                </c:pt>
                <c:pt idx="306">
                  <c:v>-3.752</c:v>
                </c:pt>
                <c:pt idx="307">
                  <c:v>-3.708</c:v>
                </c:pt>
                <c:pt idx="308">
                  <c:v>-3.609</c:v>
                </c:pt>
                <c:pt idx="309">
                  <c:v>7.793</c:v>
                </c:pt>
                <c:pt idx="310">
                  <c:v>7.883</c:v>
                </c:pt>
                <c:pt idx="311">
                  <c:v>7.878</c:v>
                </c:pt>
                <c:pt idx="312">
                  <c:v>3.752</c:v>
                </c:pt>
                <c:pt idx="313">
                  <c:v>3.717</c:v>
                </c:pt>
                <c:pt idx="314">
                  <c:v>0,328</c:v>
                </c:pt>
                <c:pt idx="315">
                  <c:v>0,982</c:v>
                </c:pt>
                <c:pt idx="316">
                  <c:v>1.631</c:v>
                </c:pt>
                <c:pt idx="317">
                  <c:v>2.273</c:v>
                </c:pt>
                <c:pt idx="318">
                  <c:v>2.907</c:v>
                </c:pt>
                <c:pt idx="319">
                  <c:v>3.243</c:v>
                </c:pt>
                <c:pt idx="320">
                  <c:v>3.824</c:v>
                </c:pt>
                <c:pt idx="321">
                  <c:v>4.413</c:v>
                </c:pt>
                <c:pt idx="322">
                  <c:v>5.265</c:v>
                </c:pt>
                <c:pt idx="323">
                  <c:v>6.058</c:v>
                </c:pt>
                <c:pt idx="324">
                  <c:v>6.788</c:v>
                </c:pt>
                <c:pt idx="325">
                  <c:v>7.446</c:v>
                </c:pt>
                <c:pt idx="326">
                  <c:v>8.027</c:v>
                </c:pt>
                <c:pt idx="327">
                  <c:v>8.523</c:v>
                </c:pt>
                <c:pt idx="328">
                  <c:v>8.930</c:v>
                </c:pt>
                <c:pt idx="329">
                  <c:v>9.244</c:v>
                </c:pt>
                <c:pt idx="330">
                  <c:v>9.461</c:v>
                </c:pt>
                <c:pt idx="331">
                  <c:v>9.549</c:v>
                </c:pt>
                <c:pt idx="332">
                  <c:v>9.594</c:v>
                </c:pt>
                <c:pt idx="333">
                  <c:v>9.600</c:v>
                </c:pt>
                <c:pt idx="334">
                  <c:v>8.906</c:v>
                </c:pt>
                <c:pt idx="335">
                  <c:v>6.495</c:v>
                </c:pt>
                <c:pt idx="336">
                  <c:v>5.487</c:v>
                </c:pt>
                <c:pt idx="337">
                  <c:v>3.628</c:v>
                </c:pt>
                <c:pt idx="338">
                  <c:v>6.494</c:v>
                </c:pt>
                <c:pt idx="339">
                  <c:v>6.493</c:v>
                </c:pt>
                <c:pt idx="340">
                  <c:v>1.768</c:v>
                </c:pt>
                <c:pt idx="341">
                  <c:v>0,091</c:v>
                </c:pt>
                <c:pt idx="342">
                  <c:v>6.492</c:v>
                </c:pt>
                <c:pt idx="343">
                  <c:v>6.491</c:v>
                </c:pt>
                <c:pt idx="344">
                  <c:v>6.463</c:v>
                </c:pt>
                <c:pt idx="345">
                  <c:v>6.412</c:v>
                </c:pt>
                <c:pt idx="346">
                  <c:v>6.343</c:v>
                </c:pt>
                <c:pt idx="347">
                  <c:v>-1.950</c:v>
                </c:pt>
                <c:pt idx="348">
                  <c:v>-3.809</c:v>
                </c:pt>
                <c:pt idx="349">
                  <c:v>5.860</c:v>
                </c:pt>
                <c:pt idx="350">
                  <c:v>5.511</c:v>
                </c:pt>
                <c:pt idx="351">
                  <c:v>5.131</c:v>
                </c:pt>
                <c:pt idx="352">
                  <c:v>-5.668</c:v>
                </c:pt>
                <c:pt idx="353">
                  <c:v>-6.497</c:v>
                </c:pt>
                <c:pt idx="354">
                  <c:v>-6.497</c:v>
                </c:pt>
                <c:pt idx="355">
                  <c:v>4.188</c:v>
                </c:pt>
                <c:pt idx="356">
                  <c:v>3.788</c:v>
                </c:pt>
                <c:pt idx="357">
                  <c:v>3.229</c:v>
                </c:pt>
                <c:pt idx="358">
                  <c:v>3.039</c:v>
                </c:pt>
                <c:pt idx="359">
                  <c:v>-6.497</c:v>
                </c:pt>
                <c:pt idx="360">
                  <c:v>-6.497</c:v>
                </c:pt>
                <c:pt idx="361">
                  <c:v>1.635</c:v>
                </c:pt>
                <c:pt idx="362">
                  <c:v>1.117</c:v>
                </c:pt>
                <c:pt idx="363">
                  <c:v>0,708</c:v>
                </c:pt>
                <c:pt idx="364">
                  <c:v>0,299</c:v>
                </c:pt>
                <c:pt idx="365">
                  <c:v>0,15</c:v>
                </c:pt>
                <c:pt idx="366">
                  <c:v>-6.455</c:v>
                </c:pt>
                <c:pt idx="367">
                  <c:v>-6.369</c:v>
                </c:pt>
                <c:pt idx="368">
                  <c:v>-6.273</c:v>
                </c:pt>
                <c:pt idx="369">
                  <c:v>-6.149</c:v>
                </c:pt>
                <c:pt idx="370">
                  <c:v>-6.011</c:v>
                </c:pt>
                <c:pt idx="371">
                  <c:v>-5.723</c:v>
                </c:pt>
                <c:pt idx="372">
                  <c:v>-5.378</c:v>
                </c:pt>
                <c:pt idx="373">
                  <c:v>-5.151</c:v>
                </c:pt>
                <c:pt idx="374">
                  <c:v>-4.883</c:v>
                </c:pt>
                <c:pt idx="375">
                  <c:v>-3.584</c:v>
                </c:pt>
                <c:pt idx="376">
                  <c:v>-3.584</c:v>
                </c:pt>
                <c:pt idx="377">
                  <c:v>7.287</c:v>
                </c:pt>
                <c:pt idx="378">
                  <c:v>-7.289</c:v>
                </c:pt>
                <c:pt idx="379">
                  <c:v>-7.288</c:v>
                </c:pt>
                <c:pt idx="380">
                  <c:v>-7.270</c:v>
                </c:pt>
                <c:pt idx="381">
                  <c:v>-7.219</c:v>
                </c:pt>
                <c:pt idx="382">
                  <c:v>-7.135</c:v>
                </c:pt>
                <c:pt idx="383">
                  <c:v>-7.017</c:v>
                </c:pt>
                <c:pt idx="384">
                  <c:v>-6.866</c:v>
                </c:pt>
                <c:pt idx="385">
                  <c:v>-6.692</c:v>
                </c:pt>
                <c:pt idx="386">
                  <c:v>-6.350</c:v>
                </c:pt>
                <c:pt idx="387">
                  <c:v>-5.939</c:v>
                </c:pt>
                <c:pt idx="388">
                  <c:v>-5.653</c:v>
                </c:pt>
                <c:pt idx="389">
                  <c:v>-5.326</c:v>
                </c:pt>
                <c:pt idx="390">
                  <c:v>-4.974</c:v>
                </c:pt>
                <c:pt idx="391">
                  <c:v>-4.599</c:v>
                </c:pt>
                <c:pt idx="392">
                  <c:v>-4.202</c:v>
                </c:pt>
                <c:pt idx="393">
                  <c:v>-3.786</c:v>
                </c:pt>
                <c:pt idx="394">
                  <c:v>-3.353</c:v>
                </c:pt>
                <c:pt idx="395">
                  <c:v>-2.924</c:v>
                </c:pt>
                <c:pt idx="396">
                  <c:v>-2.182</c:v>
                </c:pt>
                <c:pt idx="397">
                  <c:v>-1.725</c:v>
                </c:pt>
                <c:pt idx="398">
                  <c:v>-1.238</c:v>
                </c:pt>
                <c:pt idx="399">
                  <c:v>0,745</c:v>
                </c:pt>
                <c:pt idx="400">
                  <c:v>0,249</c:v>
                </c:pt>
                <c:pt idx="401">
                  <c:v>0,249</c:v>
                </c:pt>
                <c:pt idx="402">
                  <c:v>0,745</c:v>
                </c:pt>
                <c:pt idx="403">
                  <c:v>1.238</c:v>
                </c:pt>
                <c:pt idx="404">
                  <c:v>1.703</c:v>
                </c:pt>
                <c:pt idx="405">
                  <c:v>2.462</c:v>
                </c:pt>
                <c:pt idx="406">
                  <c:v>2.903</c:v>
                </c:pt>
                <c:pt idx="407">
                  <c:v>3.332</c:v>
                </c:pt>
                <c:pt idx="408">
                  <c:v>3.996</c:v>
                </c:pt>
                <c:pt idx="409">
                  <c:v>4.598</c:v>
                </c:pt>
                <c:pt idx="410">
                  <c:v>5.151</c:v>
                </c:pt>
                <c:pt idx="411">
                  <c:v>5.651</c:v>
                </c:pt>
                <c:pt idx="412">
                  <c:v>6.092</c:v>
                </c:pt>
                <c:pt idx="413">
                  <c:v>6.468</c:v>
                </c:pt>
                <c:pt idx="414">
                  <c:v>6.777</c:v>
                </c:pt>
                <c:pt idx="415">
                  <c:v>7.015</c:v>
                </c:pt>
                <c:pt idx="416">
                  <c:v>7.184</c:v>
                </c:pt>
                <c:pt idx="417">
                  <c:v>7.249</c:v>
                </c:pt>
                <c:pt idx="418">
                  <c:v>7.283</c:v>
                </c:pt>
                <c:pt idx="419">
                  <c:v>7.287</c:v>
                </c:pt>
                <c:pt idx="420">
                  <c:v>8.584</c:v>
                </c:pt>
                <c:pt idx="421">
                  <c:v>-8.584</c:v>
                </c:pt>
                <c:pt idx="422">
                  <c:v>-8.583</c:v>
                </c:pt>
                <c:pt idx="423">
                  <c:v>-8.564</c:v>
                </c:pt>
                <c:pt idx="424">
                  <c:v>-8.504</c:v>
                </c:pt>
                <c:pt idx="425">
                  <c:v>-8.404</c:v>
                </c:pt>
                <c:pt idx="426">
                  <c:v>-8.265</c:v>
                </c:pt>
                <c:pt idx="427">
                  <c:v>-8.088</c:v>
                </c:pt>
                <c:pt idx="428">
                  <c:v>-7.877</c:v>
                </c:pt>
                <c:pt idx="429">
                  <c:v>-7.481</c:v>
                </c:pt>
                <c:pt idx="430">
                  <c:v>-7.005</c:v>
                </c:pt>
                <c:pt idx="431">
                  <c:v>-6.658</c:v>
                </c:pt>
                <c:pt idx="432">
                  <c:v>-6.273</c:v>
                </c:pt>
                <c:pt idx="433">
                  <c:v>-5.859</c:v>
                </c:pt>
                <c:pt idx="434">
                  <c:v>-5.417</c:v>
                </c:pt>
                <c:pt idx="435">
                  <c:v>-4.950</c:v>
                </c:pt>
                <c:pt idx="436">
                  <c:v>-4.460</c:v>
                </c:pt>
                <c:pt idx="437">
                  <c:v>-3.949</c:v>
                </c:pt>
                <c:pt idx="438">
                  <c:v>-3.431</c:v>
                </c:pt>
                <c:pt idx="439">
                  <c:v>-2.585</c:v>
                </c:pt>
                <c:pt idx="440">
                  <c:v>-2.032</c:v>
                </c:pt>
                <c:pt idx="441">
                  <c:v>-1.458</c:v>
                </c:pt>
                <c:pt idx="442">
                  <c:v>0,878</c:v>
                </c:pt>
                <c:pt idx="443">
                  <c:v>0,293</c:v>
                </c:pt>
                <c:pt idx="444">
                  <c:v>0,293</c:v>
                </c:pt>
                <c:pt idx="445">
                  <c:v>0,878</c:v>
                </c:pt>
                <c:pt idx="446">
                  <c:v>1.458</c:v>
                </c:pt>
                <c:pt idx="447">
                  <c:v>2.020</c:v>
                </c:pt>
                <c:pt idx="448">
                  <c:v>2.886</c:v>
                </c:pt>
                <c:pt idx="449">
                  <c:v>3.420</c:v>
                </c:pt>
                <c:pt idx="450">
                  <c:v>3.938</c:v>
                </c:pt>
                <c:pt idx="451">
                  <c:v>4.707</c:v>
                </c:pt>
                <c:pt idx="452">
                  <c:v>5.416</c:v>
                </c:pt>
                <c:pt idx="453">
                  <c:v>6.069</c:v>
                </c:pt>
                <c:pt idx="454">
                  <c:v>6.658</c:v>
                </c:pt>
                <c:pt idx="455">
                  <c:v>7.177</c:v>
                </c:pt>
                <c:pt idx="456">
                  <c:v>7.620</c:v>
                </c:pt>
                <c:pt idx="457">
                  <c:v>7.984</c:v>
                </c:pt>
                <c:pt idx="458">
                  <c:v>8.264</c:v>
                </c:pt>
                <c:pt idx="459">
                  <c:v>8.460</c:v>
                </c:pt>
                <c:pt idx="460">
                  <c:v>8.539</c:v>
                </c:pt>
                <c:pt idx="461">
                  <c:v>8.579</c:v>
                </c:pt>
                <c:pt idx="462">
                  <c:v>8.584</c:v>
                </c:pt>
                <c:pt idx="463">
                  <c:v>9.600</c:v>
                </c:pt>
                <c:pt idx="464">
                  <c:v>-9.600</c:v>
                </c:pt>
                <c:pt idx="465">
                  <c:v>-9.599</c:v>
                </c:pt>
                <c:pt idx="466">
                  <c:v>-9.577</c:v>
                </c:pt>
                <c:pt idx="467">
                  <c:v>-9.510</c:v>
                </c:pt>
                <c:pt idx="468">
                  <c:v>-9.399</c:v>
                </c:pt>
                <c:pt idx="469">
                  <c:v>-9.244</c:v>
                </c:pt>
                <c:pt idx="470">
                  <c:v>-9.045</c:v>
                </c:pt>
                <c:pt idx="471">
                  <c:v>-8.806</c:v>
                </c:pt>
                <c:pt idx="472">
                  <c:v>-8.367</c:v>
                </c:pt>
                <c:pt idx="473">
                  <c:v>-7.841</c:v>
                </c:pt>
                <c:pt idx="474">
                  <c:v>-7.447</c:v>
                </c:pt>
                <c:pt idx="475">
                  <c:v>-7.016</c:v>
                </c:pt>
                <c:pt idx="476">
                  <c:v>-6.552</c:v>
                </c:pt>
                <c:pt idx="477">
                  <c:v>-6.058</c:v>
                </c:pt>
                <c:pt idx="478">
                  <c:v>-5.536</c:v>
                </c:pt>
                <c:pt idx="479">
                  <c:v>-4.988</c:v>
                </c:pt>
                <c:pt idx="480">
                  <c:v>-4.417</c:v>
                </c:pt>
                <c:pt idx="481">
                  <c:v>-3.828</c:v>
                </c:pt>
                <c:pt idx="482">
                  <c:v>-2.901</c:v>
                </c:pt>
                <c:pt idx="483">
                  <c:v>-2.273</c:v>
                </c:pt>
                <c:pt idx="484">
                  <c:v>-1.631</c:v>
                </c:pt>
                <c:pt idx="485">
                  <c:v>0,982</c:v>
                </c:pt>
                <c:pt idx="486">
                  <c:v>0,328</c:v>
                </c:pt>
                <c:pt idx="487">
                  <c:v>0,328</c:v>
                </c:pt>
                <c:pt idx="488">
                  <c:v>0,982</c:v>
                </c:pt>
                <c:pt idx="489">
                  <c:v>1.631</c:v>
                </c:pt>
                <c:pt idx="490">
                  <c:v>2.270</c:v>
                </c:pt>
                <c:pt idx="491">
                  <c:v>3.218</c:v>
                </c:pt>
                <c:pt idx="492">
                  <c:v>3.825</c:v>
                </c:pt>
                <c:pt idx="493">
                  <c:v>4.413</c:v>
                </c:pt>
                <c:pt idx="494">
                  <c:v>5.265</c:v>
                </c:pt>
                <c:pt idx="495">
                  <c:v>6.058</c:v>
                </c:pt>
                <c:pt idx="496">
                  <c:v>6.788</c:v>
                </c:pt>
                <c:pt idx="497">
                  <c:v>7.446</c:v>
                </c:pt>
                <c:pt idx="498">
                  <c:v>8.027</c:v>
                </c:pt>
                <c:pt idx="499">
                  <c:v>8.523</c:v>
                </c:pt>
                <c:pt idx="500">
                  <c:v>8.930</c:v>
                </c:pt>
                <c:pt idx="501">
                  <c:v>9.244</c:v>
                </c:pt>
                <c:pt idx="502">
                  <c:v>9.461</c:v>
                </c:pt>
                <c:pt idx="503">
                  <c:v>9.549</c:v>
                </c:pt>
                <c:pt idx="504">
                  <c:v>9.594</c:v>
                </c:pt>
                <c:pt idx="505">
                  <c:v>9.600</c:v>
                </c:pt>
                <c:pt idx="506">
                  <c:v>8.906</c:v>
                </c:pt>
                <c:pt idx="507">
                  <c:v>4.739</c:v>
                </c:pt>
                <c:pt idx="508">
                  <c:v>3.729</c:v>
                </c:pt>
                <c:pt idx="509">
                  <c:v>3.275</c:v>
                </c:pt>
                <c:pt idx="510">
                  <c:v>2.780</c:v>
                </c:pt>
                <c:pt idx="511">
                  <c:v>2.221</c:v>
                </c:pt>
                <c:pt idx="512">
                  <c:v>1.883</c:v>
                </c:pt>
                <c:pt idx="513">
                  <c:v>1.534</c:v>
                </c:pt>
                <c:pt idx="514">
                  <c:v>0,881</c:v>
                </c:pt>
                <c:pt idx="515">
                  <c:v>0,514</c:v>
                </c:pt>
                <c:pt idx="516">
                  <c:v>0,151</c:v>
                </c:pt>
                <c:pt idx="517">
                  <c:v>6.457</c:v>
                </c:pt>
                <c:pt idx="518">
                  <c:v>6.491</c:v>
                </c:pt>
                <c:pt idx="519">
                  <c:v>6.492</c:v>
                </c:pt>
                <c:pt idx="520">
                  <c:v>-1.635</c:v>
                </c:pt>
                <c:pt idx="521">
                  <c:v>-2.283</c:v>
                </c:pt>
                <c:pt idx="522">
                  <c:v>-3.039</c:v>
                </c:pt>
                <c:pt idx="523">
                  <c:v>6.493</c:v>
                </c:pt>
                <c:pt idx="524">
                  <c:v>6.494</c:v>
                </c:pt>
                <c:pt idx="525">
                  <c:v>-4.191</c:v>
                </c:pt>
                <c:pt idx="526">
                  <c:v>-4.593</c:v>
                </c:pt>
                <c:pt idx="527">
                  <c:v>-4.882</c:v>
                </c:pt>
                <c:pt idx="528">
                  <c:v>-5.134</c:v>
                </c:pt>
                <c:pt idx="529">
                  <c:v>5.668</c:v>
                </c:pt>
                <c:pt idx="530">
                  <c:v>3.808</c:v>
                </c:pt>
                <c:pt idx="531">
                  <c:v>-5.857</c:v>
                </c:pt>
                <c:pt idx="532">
                  <c:v>-6.011</c:v>
                </c:pt>
                <c:pt idx="533">
                  <c:v>-6.149</c:v>
                </c:pt>
                <c:pt idx="534">
                  <c:v>-6.350</c:v>
                </c:pt>
                <c:pt idx="535">
                  <c:v>1.949</c:v>
                </c:pt>
                <c:pt idx="536">
                  <c:v>0,09</c:v>
                </c:pt>
                <c:pt idx="537">
                  <c:v>-6.496</c:v>
                </c:pt>
                <c:pt idx="538">
                  <c:v>-6.496</c:v>
                </c:pt>
                <c:pt idx="539">
                  <c:v>-1.770</c:v>
                </c:pt>
                <c:pt idx="540">
                  <c:v>-3.629</c:v>
                </c:pt>
                <c:pt idx="541">
                  <c:v>-6.497</c:v>
                </c:pt>
                <c:pt idx="542">
                  <c:v>-6.497</c:v>
                </c:pt>
                <c:pt idx="543">
                  <c:v>-5.489</c:v>
                </c:pt>
                <c:pt idx="544">
                  <c:v>-5.489</c:v>
                </c:pt>
                <c:pt idx="545">
                  <c:v>7.287</c:v>
                </c:pt>
                <c:pt idx="546">
                  <c:v>-7.288</c:v>
                </c:pt>
                <c:pt idx="547">
                  <c:v>-7.287</c:v>
                </c:pt>
                <c:pt idx="548">
                  <c:v>-7.270</c:v>
                </c:pt>
                <c:pt idx="549">
                  <c:v>-7.219</c:v>
                </c:pt>
                <c:pt idx="550">
                  <c:v>-7.135</c:v>
                </c:pt>
                <c:pt idx="551">
                  <c:v>-7.017</c:v>
                </c:pt>
                <c:pt idx="552">
                  <c:v>-6.862</c:v>
                </c:pt>
                <c:pt idx="553">
                  <c:v>-6.582</c:v>
                </c:pt>
                <c:pt idx="554">
                  <c:v>-6.363</c:v>
                </c:pt>
                <c:pt idx="555">
                  <c:v>-5.939</c:v>
                </c:pt>
                <c:pt idx="556">
                  <c:v>-5.653</c:v>
                </c:pt>
                <c:pt idx="557">
                  <c:v>-5.326</c:v>
                </c:pt>
                <c:pt idx="558">
                  <c:v>-4.974</c:v>
                </c:pt>
                <c:pt idx="559">
                  <c:v>-4.599</c:v>
                </c:pt>
                <c:pt idx="560">
                  <c:v>-4.202</c:v>
                </c:pt>
                <c:pt idx="561">
                  <c:v>-3.786</c:v>
                </c:pt>
                <c:pt idx="562">
                  <c:v>-3.353</c:v>
                </c:pt>
                <c:pt idx="563">
                  <c:v>-2.924</c:v>
                </c:pt>
                <c:pt idx="564">
                  <c:v>-2.182</c:v>
                </c:pt>
                <c:pt idx="565">
                  <c:v>-1.725</c:v>
                </c:pt>
                <c:pt idx="566">
                  <c:v>-1.238</c:v>
                </c:pt>
                <c:pt idx="567">
                  <c:v>0,745</c:v>
                </c:pt>
                <c:pt idx="568">
                  <c:v>0,249</c:v>
                </c:pt>
                <c:pt idx="569">
                  <c:v>0,249</c:v>
                </c:pt>
                <c:pt idx="570">
                  <c:v>0,745</c:v>
                </c:pt>
                <c:pt idx="571">
                  <c:v>1.238</c:v>
                </c:pt>
                <c:pt idx="572">
                  <c:v>1.703</c:v>
                </c:pt>
                <c:pt idx="573">
                  <c:v>2.462</c:v>
                </c:pt>
                <c:pt idx="574">
                  <c:v>2.903</c:v>
                </c:pt>
                <c:pt idx="575">
                  <c:v>3.332</c:v>
                </c:pt>
                <c:pt idx="576">
                  <c:v>3.996</c:v>
                </c:pt>
                <c:pt idx="577">
                  <c:v>4.598</c:v>
                </c:pt>
                <c:pt idx="578">
                  <c:v>5.151</c:v>
                </c:pt>
                <c:pt idx="579">
                  <c:v>5.651</c:v>
                </c:pt>
                <c:pt idx="580">
                  <c:v>6.092</c:v>
                </c:pt>
                <c:pt idx="581">
                  <c:v>6.468</c:v>
                </c:pt>
                <c:pt idx="582">
                  <c:v>6.777</c:v>
                </c:pt>
                <c:pt idx="583">
                  <c:v>7.015</c:v>
                </c:pt>
                <c:pt idx="584">
                  <c:v>7.184</c:v>
                </c:pt>
                <c:pt idx="585">
                  <c:v>7.249</c:v>
                </c:pt>
                <c:pt idx="586">
                  <c:v>7.283</c:v>
                </c:pt>
                <c:pt idx="587">
                  <c:v>7.287</c:v>
                </c:pt>
                <c:pt idx="588">
                  <c:v>8.584</c:v>
                </c:pt>
                <c:pt idx="589">
                  <c:v>-8.584</c:v>
                </c:pt>
                <c:pt idx="590">
                  <c:v>-8.583</c:v>
                </c:pt>
                <c:pt idx="591">
                  <c:v>-8.564</c:v>
                </c:pt>
                <c:pt idx="592">
                  <c:v>-8.504</c:v>
                </c:pt>
                <c:pt idx="593">
                  <c:v>-8.404</c:v>
                </c:pt>
                <c:pt idx="594">
                  <c:v>-8.265</c:v>
                </c:pt>
                <c:pt idx="595">
                  <c:v>-8.086</c:v>
                </c:pt>
                <c:pt idx="596">
                  <c:v>-7.752</c:v>
                </c:pt>
                <c:pt idx="597">
                  <c:v>-7.488</c:v>
                </c:pt>
                <c:pt idx="598">
                  <c:v>-7.005</c:v>
                </c:pt>
                <c:pt idx="599">
                  <c:v>-6.658</c:v>
                </c:pt>
                <c:pt idx="600">
                  <c:v>-6.273</c:v>
                </c:pt>
                <c:pt idx="601">
                  <c:v>-5.859</c:v>
                </c:pt>
                <c:pt idx="602">
                  <c:v>-5.417</c:v>
                </c:pt>
                <c:pt idx="603">
                  <c:v>-4.950</c:v>
                </c:pt>
                <c:pt idx="604">
                  <c:v>-4.460</c:v>
                </c:pt>
                <c:pt idx="605">
                  <c:v>-3.949</c:v>
                </c:pt>
                <c:pt idx="606">
                  <c:v>-3.431</c:v>
                </c:pt>
                <c:pt idx="607">
                  <c:v>-2.585</c:v>
                </c:pt>
                <c:pt idx="608">
                  <c:v>-2.032</c:v>
                </c:pt>
                <c:pt idx="609">
                  <c:v>-1.458</c:v>
                </c:pt>
                <c:pt idx="610">
                  <c:v>0,878</c:v>
                </c:pt>
                <c:pt idx="611">
                  <c:v>0,293</c:v>
                </c:pt>
                <c:pt idx="612">
                  <c:v>0,293</c:v>
                </c:pt>
                <c:pt idx="613">
                  <c:v>0,878</c:v>
                </c:pt>
                <c:pt idx="614">
                  <c:v>1.458</c:v>
                </c:pt>
                <c:pt idx="615">
                  <c:v>2.020</c:v>
                </c:pt>
                <c:pt idx="616">
                  <c:v>2.886</c:v>
                </c:pt>
                <c:pt idx="617">
                  <c:v>3.420</c:v>
                </c:pt>
                <c:pt idx="618">
                  <c:v>3.938</c:v>
                </c:pt>
                <c:pt idx="619">
                  <c:v>4.707</c:v>
                </c:pt>
                <c:pt idx="620">
                  <c:v>5.416</c:v>
                </c:pt>
                <c:pt idx="621">
                  <c:v>6.069</c:v>
                </c:pt>
                <c:pt idx="622">
                  <c:v>6.658</c:v>
                </c:pt>
                <c:pt idx="623">
                  <c:v>7.177</c:v>
                </c:pt>
                <c:pt idx="624">
                  <c:v>7.620</c:v>
                </c:pt>
                <c:pt idx="625">
                  <c:v>7.984</c:v>
                </c:pt>
                <c:pt idx="626">
                  <c:v>8.264</c:v>
                </c:pt>
                <c:pt idx="627">
                  <c:v>8.460</c:v>
                </c:pt>
                <c:pt idx="628">
                  <c:v>8.539</c:v>
                </c:pt>
                <c:pt idx="629">
                  <c:v>8.579</c:v>
                </c:pt>
                <c:pt idx="630">
                  <c:v>8.584</c:v>
                </c:pt>
                <c:pt idx="631">
                  <c:v>9.600</c:v>
                </c:pt>
                <c:pt idx="632">
                  <c:v>-9.600</c:v>
                </c:pt>
                <c:pt idx="633">
                  <c:v>-9.599</c:v>
                </c:pt>
                <c:pt idx="634">
                  <c:v>-9.577</c:v>
                </c:pt>
                <c:pt idx="635">
                  <c:v>-9.510</c:v>
                </c:pt>
                <c:pt idx="636">
                  <c:v>-9.399</c:v>
                </c:pt>
                <c:pt idx="637">
                  <c:v>-9.244</c:v>
                </c:pt>
                <c:pt idx="638">
                  <c:v>-9.045</c:v>
                </c:pt>
                <c:pt idx="639">
                  <c:v>-8.670</c:v>
                </c:pt>
                <c:pt idx="640">
                  <c:v>-8.369</c:v>
                </c:pt>
                <c:pt idx="641">
                  <c:v>-7.841</c:v>
                </c:pt>
                <c:pt idx="642">
                  <c:v>-7.447</c:v>
                </c:pt>
                <c:pt idx="643">
                  <c:v>-7.016</c:v>
                </c:pt>
                <c:pt idx="644">
                  <c:v>-6.552</c:v>
                </c:pt>
                <c:pt idx="645">
                  <c:v>-6.058</c:v>
                </c:pt>
                <c:pt idx="646">
                  <c:v>-5.536</c:v>
                </c:pt>
                <c:pt idx="647">
                  <c:v>-4.988</c:v>
                </c:pt>
                <c:pt idx="648">
                  <c:v>-4.417</c:v>
                </c:pt>
                <c:pt idx="649">
                  <c:v>-3.828</c:v>
                </c:pt>
                <c:pt idx="650">
                  <c:v>-2.901</c:v>
                </c:pt>
                <c:pt idx="651">
                  <c:v>-2.273</c:v>
                </c:pt>
                <c:pt idx="652">
                  <c:v>-1.631</c:v>
                </c:pt>
                <c:pt idx="653">
                  <c:v>0,982</c:v>
                </c:pt>
                <c:pt idx="654">
                  <c:v>0,328</c:v>
                </c:pt>
                <c:pt idx="655">
                  <c:v>0,328</c:v>
                </c:pt>
                <c:pt idx="656">
                  <c:v>0,982</c:v>
                </c:pt>
                <c:pt idx="657">
                  <c:v>1.631</c:v>
                </c:pt>
                <c:pt idx="658">
                  <c:v>2.270</c:v>
                </c:pt>
                <c:pt idx="659">
                  <c:v>3.218</c:v>
                </c:pt>
                <c:pt idx="660">
                  <c:v>3.825</c:v>
                </c:pt>
                <c:pt idx="661">
                  <c:v>4.413</c:v>
                </c:pt>
                <c:pt idx="662">
                  <c:v>5.265</c:v>
                </c:pt>
                <c:pt idx="663">
                  <c:v>6.058</c:v>
                </c:pt>
                <c:pt idx="664">
                  <c:v>6.788</c:v>
                </c:pt>
                <c:pt idx="665">
                  <c:v>7.446</c:v>
                </c:pt>
                <c:pt idx="666">
                  <c:v>8.027</c:v>
                </c:pt>
                <c:pt idx="667">
                  <c:v>8.523</c:v>
                </c:pt>
                <c:pt idx="668">
                  <c:v>8.930</c:v>
                </c:pt>
                <c:pt idx="669">
                  <c:v>9.243</c:v>
                </c:pt>
                <c:pt idx="670">
                  <c:v>9.461</c:v>
                </c:pt>
                <c:pt idx="671">
                  <c:v>9.549</c:v>
                </c:pt>
                <c:pt idx="672">
                  <c:v>9.594</c:v>
                </c:pt>
                <c:pt idx="673">
                  <c:v>9.600</c:v>
                </c:pt>
                <c:pt idx="674">
                  <c:v>8.906</c:v>
                </c:pt>
                <c:pt idx="675">
                  <c:v>6.588</c:v>
                </c:pt>
                <c:pt idx="676">
                  <c:v>-6.391</c:v>
                </c:pt>
                <c:pt idx="677">
                  <c:v>3.522</c:v>
                </c:pt>
                <c:pt idx="678">
                  <c:v>3.081</c:v>
                </c:pt>
                <c:pt idx="679">
                  <c:v>2.602</c:v>
                </c:pt>
                <c:pt idx="680">
                  <c:v>2.059</c:v>
                </c:pt>
                <c:pt idx="681">
                  <c:v>1.733</c:v>
                </c:pt>
                <c:pt idx="682">
                  <c:v>1.398</c:v>
                </c:pt>
                <c:pt idx="683">
                  <c:v>0,761</c:v>
                </c:pt>
                <c:pt idx="684">
                  <c:v>0,408</c:v>
                </c:pt>
                <c:pt idx="685">
                  <c:v>0,015</c:v>
                </c:pt>
                <c:pt idx="686">
                  <c:v>0,38</c:v>
                </c:pt>
                <c:pt idx="687">
                  <c:v>0,776</c:v>
                </c:pt>
                <c:pt idx="688">
                  <c:v>-1.171</c:v>
                </c:pt>
                <c:pt idx="689">
                  <c:v>-1.563</c:v>
                </c:pt>
                <c:pt idx="690">
                  <c:v>-1.951</c:v>
                </c:pt>
                <c:pt idx="691">
                  <c:v>-2.298</c:v>
                </c:pt>
                <c:pt idx="692">
                  <c:v>-2.921</c:v>
                </c:pt>
                <c:pt idx="693">
                  <c:v>-3.246</c:v>
                </c:pt>
                <c:pt idx="694">
                  <c:v>-3.592</c:v>
                </c:pt>
                <c:pt idx="695">
                  <c:v>-3.923</c:v>
                </c:pt>
                <c:pt idx="696">
                  <c:v>-4.239</c:v>
                </c:pt>
                <c:pt idx="697">
                  <c:v>-4.537</c:v>
                </c:pt>
                <c:pt idx="698">
                  <c:v>-4.817</c:v>
                </c:pt>
                <c:pt idx="699">
                  <c:v>-5.077</c:v>
                </c:pt>
                <c:pt idx="700">
                  <c:v>-5.295</c:v>
                </c:pt>
                <c:pt idx="701">
                  <c:v>-5.651</c:v>
                </c:pt>
                <c:pt idx="702">
                  <c:v>-5.955</c:v>
                </c:pt>
                <c:pt idx="703">
                  <c:v>-6.167</c:v>
                </c:pt>
                <c:pt idx="704">
                  <c:v>-6.257</c:v>
                </c:pt>
                <c:pt idx="705">
                  <c:v>-6.324</c:v>
                </c:pt>
                <c:pt idx="706">
                  <c:v>-6.365</c:v>
                </c:pt>
                <c:pt idx="707">
                  <c:v>-6.380</c:v>
                </c:pt>
                <c:pt idx="708">
                  <c:v>-6.380</c:v>
                </c:pt>
                <c:pt idx="709">
                  <c:v>4.677</c:v>
                </c:pt>
                <c:pt idx="710">
                  <c:v>4.677</c:v>
                </c:pt>
                <c:pt idx="711">
                  <c:v>7.287</c:v>
                </c:pt>
                <c:pt idx="712">
                  <c:v>-7.288</c:v>
                </c:pt>
                <c:pt idx="713">
                  <c:v>-7.287</c:v>
                </c:pt>
                <c:pt idx="714">
                  <c:v>-7.271</c:v>
                </c:pt>
                <c:pt idx="715">
                  <c:v>-7.219</c:v>
                </c:pt>
                <c:pt idx="716">
                  <c:v>-7.135</c:v>
                </c:pt>
                <c:pt idx="717">
                  <c:v>-7.017</c:v>
                </c:pt>
                <c:pt idx="718">
                  <c:v>-6.862</c:v>
                </c:pt>
                <c:pt idx="719">
                  <c:v>-6.583</c:v>
                </c:pt>
                <c:pt idx="720">
                  <c:v>-6.363</c:v>
                </c:pt>
                <c:pt idx="721">
                  <c:v>-5.939</c:v>
                </c:pt>
                <c:pt idx="722">
                  <c:v>-5.653</c:v>
                </c:pt>
                <c:pt idx="723">
                  <c:v>-5.326</c:v>
                </c:pt>
                <c:pt idx="724">
                  <c:v>-4.974</c:v>
                </c:pt>
                <c:pt idx="725">
                  <c:v>-4.599</c:v>
                </c:pt>
                <c:pt idx="726">
                  <c:v>-4.202</c:v>
                </c:pt>
                <c:pt idx="727">
                  <c:v>-3.786</c:v>
                </c:pt>
                <c:pt idx="728">
                  <c:v>-3.353</c:v>
                </c:pt>
                <c:pt idx="729">
                  <c:v>-2.903</c:v>
                </c:pt>
                <c:pt idx="730">
                  <c:v>-2.428</c:v>
                </c:pt>
                <c:pt idx="731">
                  <c:v>-1.729</c:v>
                </c:pt>
                <c:pt idx="732">
                  <c:v>-1.238</c:v>
                </c:pt>
                <c:pt idx="733">
                  <c:v>0,745</c:v>
                </c:pt>
                <c:pt idx="734">
                  <c:v>0,249</c:v>
                </c:pt>
                <c:pt idx="735">
                  <c:v>0,249</c:v>
                </c:pt>
                <c:pt idx="736">
                  <c:v>0,745</c:v>
                </c:pt>
                <c:pt idx="737">
                  <c:v>1.238</c:v>
                </c:pt>
                <c:pt idx="738">
                  <c:v>1.703</c:v>
                </c:pt>
                <c:pt idx="739">
                  <c:v>2.462</c:v>
                </c:pt>
                <c:pt idx="740">
                  <c:v>2.903</c:v>
                </c:pt>
                <c:pt idx="741">
                  <c:v>3.332</c:v>
                </c:pt>
                <c:pt idx="742">
                  <c:v>3.996</c:v>
                </c:pt>
                <c:pt idx="743">
                  <c:v>4.598</c:v>
                </c:pt>
                <c:pt idx="744">
                  <c:v>5.151</c:v>
                </c:pt>
                <c:pt idx="745">
                  <c:v>5.651</c:v>
                </c:pt>
                <c:pt idx="746">
                  <c:v>6.092</c:v>
                </c:pt>
                <c:pt idx="747">
                  <c:v>6.468</c:v>
                </c:pt>
                <c:pt idx="748">
                  <c:v>6.777</c:v>
                </c:pt>
                <c:pt idx="749">
                  <c:v>7.022</c:v>
                </c:pt>
                <c:pt idx="750">
                  <c:v>7.191</c:v>
                </c:pt>
                <c:pt idx="751">
                  <c:v>7.249</c:v>
                </c:pt>
                <c:pt idx="752">
                  <c:v>7.283</c:v>
                </c:pt>
                <c:pt idx="753">
                  <c:v>7.287</c:v>
                </c:pt>
                <c:pt idx="754">
                  <c:v>8.584</c:v>
                </c:pt>
                <c:pt idx="755">
                  <c:v>-8.584</c:v>
                </c:pt>
                <c:pt idx="756">
                  <c:v>-8.583</c:v>
                </c:pt>
                <c:pt idx="757">
                  <c:v>-8.564</c:v>
                </c:pt>
                <c:pt idx="758">
                  <c:v>-8.504</c:v>
                </c:pt>
                <c:pt idx="759">
                  <c:v>-8.404</c:v>
                </c:pt>
                <c:pt idx="760">
                  <c:v>-8.265</c:v>
                </c:pt>
                <c:pt idx="761">
                  <c:v>-8.086</c:v>
                </c:pt>
                <c:pt idx="762">
                  <c:v>-7.752</c:v>
                </c:pt>
                <c:pt idx="763">
                  <c:v>-7.488</c:v>
                </c:pt>
                <c:pt idx="764">
                  <c:v>-7.005</c:v>
                </c:pt>
                <c:pt idx="765">
                  <c:v>-6.658</c:v>
                </c:pt>
                <c:pt idx="766">
                  <c:v>-6.273</c:v>
                </c:pt>
                <c:pt idx="767">
                  <c:v>-5.859</c:v>
                </c:pt>
                <c:pt idx="768">
                  <c:v>-5.417</c:v>
                </c:pt>
                <c:pt idx="769">
                  <c:v>-4.950</c:v>
                </c:pt>
                <c:pt idx="770">
                  <c:v>-4.460</c:v>
                </c:pt>
                <c:pt idx="771">
                  <c:v>-3.949</c:v>
                </c:pt>
                <c:pt idx="772">
                  <c:v>-3.420</c:v>
                </c:pt>
                <c:pt idx="773">
                  <c:v>-2.868</c:v>
                </c:pt>
                <c:pt idx="774">
                  <c:v>-2.034</c:v>
                </c:pt>
                <c:pt idx="775">
                  <c:v>-1.458</c:v>
                </c:pt>
                <c:pt idx="776">
                  <c:v>0,878</c:v>
                </c:pt>
                <c:pt idx="777">
                  <c:v>0,293</c:v>
                </c:pt>
                <c:pt idx="778">
                  <c:v>0,293</c:v>
                </c:pt>
                <c:pt idx="779">
                  <c:v>0,878</c:v>
                </c:pt>
                <c:pt idx="780">
                  <c:v>1.458</c:v>
                </c:pt>
                <c:pt idx="781">
                  <c:v>2.020</c:v>
                </c:pt>
                <c:pt idx="782">
                  <c:v>2.886</c:v>
                </c:pt>
                <c:pt idx="783">
                  <c:v>3.420</c:v>
                </c:pt>
                <c:pt idx="784">
                  <c:v>3.938</c:v>
                </c:pt>
                <c:pt idx="785">
                  <c:v>4.707</c:v>
                </c:pt>
                <c:pt idx="786">
                  <c:v>5.416</c:v>
                </c:pt>
                <c:pt idx="787">
                  <c:v>6.069</c:v>
                </c:pt>
                <c:pt idx="788">
                  <c:v>6.658</c:v>
                </c:pt>
                <c:pt idx="789">
                  <c:v>7.177</c:v>
                </c:pt>
                <c:pt idx="790">
                  <c:v>7.620</c:v>
                </c:pt>
                <c:pt idx="791">
                  <c:v>7.984</c:v>
                </c:pt>
                <c:pt idx="792">
                  <c:v>8.268</c:v>
                </c:pt>
                <c:pt idx="793">
                  <c:v>8.406</c:v>
                </c:pt>
                <c:pt idx="794">
                  <c:v>8.471</c:v>
                </c:pt>
                <c:pt idx="795">
                  <c:v>8.538</c:v>
                </c:pt>
                <c:pt idx="796">
                  <c:v>8.579</c:v>
                </c:pt>
                <c:pt idx="797">
                  <c:v>8.584</c:v>
                </c:pt>
                <c:pt idx="798">
                  <c:v>9.600</c:v>
                </c:pt>
                <c:pt idx="799">
                  <c:v>-9.600</c:v>
                </c:pt>
                <c:pt idx="800">
                  <c:v>-9.598</c:v>
                </c:pt>
                <c:pt idx="801">
                  <c:v>-9.577</c:v>
                </c:pt>
                <c:pt idx="802">
                  <c:v>-9.510</c:v>
                </c:pt>
                <c:pt idx="803">
                  <c:v>-9.399</c:v>
                </c:pt>
                <c:pt idx="804">
                  <c:v>-9.244</c:v>
                </c:pt>
                <c:pt idx="805">
                  <c:v>-9.045</c:v>
                </c:pt>
                <c:pt idx="806">
                  <c:v>-8.670</c:v>
                </c:pt>
                <c:pt idx="807">
                  <c:v>-8.369</c:v>
                </c:pt>
                <c:pt idx="808">
                  <c:v>-7.841</c:v>
                </c:pt>
                <c:pt idx="809">
                  <c:v>-7.447</c:v>
                </c:pt>
                <c:pt idx="810">
                  <c:v>-7.016</c:v>
                </c:pt>
                <c:pt idx="811">
                  <c:v>-6.552</c:v>
                </c:pt>
                <c:pt idx="812">
                  <c:v>-6.058</c:v>
                </c:pt>
                <c:pt idx="813">
                  <c:v>-5.536</c:v>
                </c:pt>
                <c:pt idx="814">
                  <c:v>-4.988</c:v>
                </c:pt>
                <c:pt idx="815">
                  <c:v>-4.417</c:v>
                </c:pt>
                <c:pt idx="816">
                  <c:v>-3.825</c:v>
                </c:pt>
                <c:pt idx="817">
                  <c:v>-3.213</c:v>
                </c:pt>
                <c:pt idx="818">
                  <c:v>-2.273</c:v>
                </c:pt>
                <c:pt idx="819">
                  <c:v>-1.631</c:v>
                </c:pt>
                <c:pt idx="820">
                  <c:v>0,982</c:v>
                </c:pt>
                <c:pt idx="821">
                  <c:v>0,328</c:v>
                </c:pt>
                <c:pt idx="822">
                  <c:v>0,328</c:v>
                </c:pt>
                <c:pt idx="823">
                  <c:v>0,982</c:v>
                </c:pt>
                <c:pt idx="824">
                  <c:v>1.631</c:v>
                </c:pt>
                <c:pt idx="825">
                  <c:v>2.270</c:v>
                </c:pt>
                <c:pt idx="826">
                  <c:v>3.218</c:v>
                </c:pt>
                <c:pt idx="827">
                  <c:v>3.825</c:v>
                </c:pt>
                <c:pt idx="828">
                  <c:v>4.413</c:v>
                </c:pt>
                <c:pt idx="829">
                  <c:v>5.265</c:v>
                </c:pt>
                <c:pt idx="830">
                  <c:v>6.058</c:v>
                </c:pt>
                <c:pt idx="831">
                  <c:v>6.788</c:v>
                </c:pt>
                <c:pt idx="832">
                  <c:v>7.446</c:v>
                </c:pt>
                <c:pt idx="833">
                  <c:v>8.027</c:v>
                </c:pt>
                <c:pt idx="834">
                  <c:v>8.523</c:v>
                </c:pt>
                <c:pt idx="835">
                  <c:v>8.930</c:v>
                </c:pt>
                <c:pt idx="836">
                  <c:v>9.245</c:v>
                </c:pt>
                <c:pt idx="837">
                  <c:v>9.399</c:v>
                </c:pt>
                <c:pt idx="838">
                  <c:v>9.474</c:v>
                </c:pt>
                <c:pt idx="839">
                  <c:v>9.549</c:v>
                </c:pt>
                <c:pt idx="840">
                  <c:v>9.594</c:v>
                </c:pt>
                <c:pt idx="841">
                  <c:v>9.600</c:v>
                </c:pt>
                <c:pt idx="842">
                  <c:v>8.906</c:v>
                </c:pt>
                <c:pt idx="843">
                  <c:v>6.588</c:v>
                </c:pt>
                <c:pt idx="844">
                  <c:v>-6.391</c:v>
                </c:pt>
                <c:pt idx="845">
                  <c:v>3.522</c:v>
                </c:pt>
                <c:pt idx="846">
                  <c:v>3.081</c:v>
                </c:pt>
                <c:pt idx="847">
                  <c:v>2.602</c:v>
                </c:pt>
                <c:pt idx="848">
                  <c:v>2.059</c:v>
                </c:pt>
                <c:pt idx="849">
                  <c:v>1.733</c:v>
                </c:pt>
                <c:pt idx="850">
                  <c:v>1.398</c:v>
                </c:pt>
                <c:pt idx="851">
                  <c:v>0,761</c:v>
                </c:pt>
                <c:pt idx="852">
                  <c:v>0,408</c:v>
                </c:pt>
                <c:pt idx="853">
                  <c:v>0,015</c:v>
                </c:pt>
                <c:pt idx="854">
                  <c:v>0,38</c:v>
                </c:pt>
                <c:pt idx="855">
                  <c:v>0,776</c:v>
                </c:pt>
                <c:pt idx="856">
                  <c:v>-1.171</c:v>
                </c:pt>
                <c:pt idx="857">
                  <c:v>-1.563</c:v>
                </c:pt>
                <c:pt idx="858">
                  <c:v>-2.269</c:v>
                </c:pt>
                <c:pt idx="859">
                  <c:v>-2.903</c:v>
                </c:pt>
                <c:pt idx="860">
                  <c:v>-3.246</c:v>
                </c:pt>
                <c:pt idx="861">
                  <c:v>-3.592</c:v>
                </c:pt>
                <c:pt idx="862">
                  <c:v>-3.923</c:v>
                </c:pt>
                <c:pt idx="863">
                  <c:v>-4.239</c:v>
                </c:pt>
                <c:pt idx="864">
                  <c:v>-4.537</c:v>
                </c:pt>
                <c:pt idx="865">
                  <c:v>-4.817</c:v>
                </c:pt>
                <c:pt idx="866">
                  <c:v>-5.077</c:v>
                </c:pt>
                <c:pt idx="867">
                  <c:v>-5.295</c:v>
                </c:pt>
                <c:pt idx="868">
                  <c:v>-5.651</c:v>
                </c:pt>
                <c:pt idx="869">
                  <c:v>-5.949</c:v>
                </c:pt>
                <c:pt idx="870">
                  <c:v>-6.167</c:v>
                </c:pt>
                <c:pt idx="871">
                  <c:v>-6.257</c:v>
                </c:pt>
                <c:pt idx="872">
                  <c:v>-6.324</c:v>
                </c:pt>
                <c:pt idx="873">
                  <c:v>-6.366</c:v>
                </c:pt>
                <c:pt idx="874">
                  <c:v>-6.379</c:v>
                </c:pt>
                <c:pt idx="875">
                  <c:v>-6.380</c:v>
                </c:pt>
                <c:pt idx="876">
                  <c:v>4.677</c:v>
                </c:pt>
                <c:pt idx="877">
                  <c:v>4.677</c:v>
                </c:pt>
                <c:pt idx="878">
                  <c:v>7.287</c:v>
                </c:pt>
                <c:pt idx="879">
                  <c:v>-7.288</c:v>
                </c:pt>
                <c:pt idx="880">
                  <c:v>-7.287</c:v>
                </c:pt>
                <c:pt idx="881">
                  <c:v>-7.271</c:v>
                </c:pt>
                <c:pt idx="882">
                  <c:v>-7.219</c:v>
                </c:pt>
                <c:pt idx="883">
                  <c:v>-7.135</c:v>
                </c:pt>
                <c:pt idx="884">
                  <c:v>-7.017</c:v>
                </c:pt>
                <c:pt idx="885">
                  <c:v>-6.866</c:v>
                </c:pt>
                <c:pt idx="886">
                  <c:v>-6.692</c:v>
                </c:pt>
                <c:pt idx="887">
                  <c:v>-6.350</c:v>
                </c:pt>
                <c:pt idx="888">
                  <c:v>-5.939</c:v>
                </c:pt>
                <c:pt idx="889">
                  <c:v>-5.653</c:v>
                </c:pt>
                <c:pt idx="890">
                  <c:v>-5.326</c:v>
                </c:pt>
                <c:pt idx="891">
                  <c:v>-4.974</c:v>
                </c:pt>
                <c:pt idx="892">
                  <c:v>-4.599</c:v>
                </c:pt>
                <c:pt idx="893">
                  <c:v>-4.202</c:v>
                </c:pt>
                <c:pt idx="894">
                  <c:v>-3.786</c:v>
                </c:pt>
                <c:pt idx="895">
                  <c:v>-3.060</c:v>
                </c:pt>
                <c:pt idx="896">
                  <c:v>-2.678</c:v>
                </c:pt>
                <c:pt idx="897">
                  <c:v>-2.204</c:v>
                </c:pt>
                <c:pt idx="898">
                  <c:v>-1.725</c:v>
                </c:pt>
                <c:pt idx="899">
                  <c:v>-1.238</c:v>
                </c:pt>
                <c:pt idx="900">
                  <c:v>0,745</c:v>
                </c:pt>
                <c:pt idx="901">
                  <c:v>0,249</c:v>
                </c:pt>
                <c:pt idx="902">
                  <c:v>0,249</c:v>
                </c:pt>
                <c:pt idx="903">
                  <c:v>0,745</c:v>
                </c:pt>
                <c:pt idx="904">
                  <c:v>1.238</c:v>
                </c:pt>
                <c:pt idx="905">
                  <c:v>1.703</c:v>
                </c:pt>
                <c:pt idx="906">
                  <c:v>2.462</c:v>
                </c:pt>
                <c:pt idx="907">
                  <c:v>2.903</c:v>
                </c:pt>
                <c:pt idx="908">
                  <c:v>3.332</c:v>
                </c:pt>
                <c:pt idx="909">
                  <c:v>3.996</c:v>
                </c:pt>
                <c:pt idx="910">
                  <c:v>4.598</c:v>
                </c:pt>
                <c:pt idx="911">
                  <c:v>5.151</c:v>
                </c:pt>
                <c:pt idx="912">
                  <c:v>5.651</c:v>
                </c:pt>
                <c:pt idx="913">
                  <c:v>6.092</c:v>
                </c:pt>
                <c:pt idx="914">
                  <c:v>6.468</c:v>
                </c:pt>
                <c:pt idx="915">
                  <c:v>6.777</c:v>
                </c:pt>
                <c:pt idx="916">
                  <c:v>7.015</c:v>
                </c:pt>
                <c:pt idx="917">
                  <c:v>7.184</c:v>
                </c:pt>
                <c:pt idx="918">
                  <c:v>7.249</c:v>
                </c:pt>
                <c:pt idx="919">
                  <c:v>7.283</c:v>
                </c:pt>
                <c:pt idx="920">
                  <c:v>7.287</c:v>
                </c:pt>
                <c:pt idx="921">
                  <c:v>8.584</c:v>
                </c:pt>
                <c:pt idx="922">
                  <c:v>-8.584</c:v>
                </c:pt>
                <c:pt idx="923">
                  <c:v>-8.582</c:v>
                </c:pt>
                <c:pt idx="924">
                  <c:v>-8.564</c:v>
                </c:pt>
                <c:pt idx="925">
                  <c:v>-8.504</c:v>
                </c:pt>
                <c:pt idx="926">
                  <c:v>-8.404</c:v>
                </c:pt>
                <c:pt idx="927">
                  <c:v>-8.265</c:v>
                </c:pt>
                <c:pt idx="928">
                  <c:v>-8.088</c:v>
                </c:pt>
                <c:pt idx="929">
                  <c:v>-7.877</c:v>
                </c:pt>
                <c:pt idx="930">
                  <c:v>-7.481</c:v>
                </c:pt>
                <c:pt idx="931">
                  <c:v>-7.005</c:v>
                </c:pt>
                <c:pt idx="932">
                  <c:v>-6.658</c:v>
                </c:pt>
                <c:pt idx="933">
                  <c:v>-6.273</c:v>
                </c:pt>
                <c:pt idx="934">
                  <c:v>-5.859</c:v>
                </c:pt>
                <c:pt idx="935">
                  <c:v>-5.417</c:v>
                </c:pt>
                <c:pt idx="936">
                  <c:v>-4.950</c:v>
                </c:pt>
                <c:pt idx="937">
                  <c:v>-4.460</c:v>
                </c:pt>
                <c:pt idx="938">
                  <c:v>-3.944</c:v>
                </c:pt>
                <c:pt idx="939">
                  <c:v>-3.600</c:v>
                </c:pt>
                <c:pt idx="940">
                  <c:v>-3.151</c:v>
                </c:pt>
                <c:pt idx="941">
                  <c:v>-2.597</c:v>
                </c:pt>
                <c:pt idx="942">
                  <c:v>-2.032</c:v>
                </c:pt>
                <c:pt idx="943">
                  <c:v>-1.458</c:v>
                </c:pt>
                <c:pt idx="944">
                  <c:v>0,878</c:v>
                </c:pt>
                <c:pt idx="945">
                  <c:v>0,293</c:v>
                </c:pt>
                <c:pt idx="946">
                  <c:v>0,293</c:v>
                </c:pt>
                <c:pt idx="947">
                  <c:v>0,878</c:v>
                </c:pt>
                <c:pt idx="948">
                  <c:v>1.458</c:v>
                </c:pt>
                <c:pt idx="949">
                  <c:v>2.020</c:v>
                </c:pt>
                <c:pt idx="950">
                  <c:v>2.886</c:v>
                </c:pt>
                <c:pt idx="951">
                  <c:v>3.420</c:v>
                </c:pt>
                <c:pt idx="952">
                  <c:v>3.938</c:v>
                </c:pt>
                <c:pt idx="953">
                  <c:v>4.707</c:v>
                </c:pt>
                <c:pt idx="954">
                  <c:v>5.416</c:v>
                </c:pt>
                <c:pt idx="955">
                  <c:v>6.069</c:v>
                </c:pt>
                <c:pt idx="956">
                  <c:v>6.658</c:v>
                </c:pt>
                <c:pt idx="957">
                  <c:v>7.177</c:v>
                </c:pt>
                <c:pt idx="958">
                  <c:v>7.620</c:v>
                </c:pt>
                <c:pt idx="959">
                  <c:v>7.984</c:v>
                </c:pt>
                <c:pt idx="960">
                  <c:v>8.264</c:v>
                </c:pt>
                <c:pt idx="961">
                  <c:v>8.460</c:v>
                </c:pt>
                <c:pt idx="962">
                  <c:v>8.539</c:v>
                </c:pt>
                <c:pt idx="963">
                  <c:v>8.579</c:v>
                </c:pt>
                <c:pt idx="964">
                  <c:v>8.584</c:v>
                </c:pt>
                <c:pt idx="965">
                  <c:v>9.600</c:v>
                </c:pt>
                <c:pt idx="966">
                  <c:v>-9.600</c:v>
                </c:pt>
                <c:pt idx="967">
                  <c:v>-9.598</c:v>
                </c:pt>
                <c:pt idx="968">
                  <c:v>-9.577</c:v>
                </c:pt>
                <c:pt idx="969">
                  <c:v>-9.510</c:v>
                </c:pt>
                <c:pt idx="970">
                  <c:v>-9.399</c:v>
                </c:pt>
                <c:pt idx="971">
                  <c:v>-9.244</c:v>
                </c:pt>
                <c:pt idx="972">
                  <c:v>-9.045</c:v>
                </c:pt>
                <c:pt idx="973">
                  <c:v>-8.806</c:v>
                </c:pt>
                <c:pt idx="974">
                  <c:v>-8.367</c:v>
                </c:pt>
                <c:pt idx="975">
                  <c:v>-7.841</c:v>
                </c:pt>
                <c:pt idx="976">
                  <c:v>-7.447</c:v>
                </c:pt>
                <c:pt idx="977">
                  <c:v>-7.016</c:v>
                </c:pt>
                <c:pt idx="978">
                  <c:v>-6.552</c:v>
                </c:pt>
                <c:pt idx="979">
                  <c:v>-6.058</c:v>
                </c:pt>
                <c:pt idx="980">
                  <c:v>-5.536</c:v>
                </c:pt>
                <c:pt idx="981">
                  <c:v>-4.988</c:v>
                </c:pt>
                <c:pt idx="982">
                  <c:v>-4.415</c:v>
                </c:pt>
                <c:pt idx="983">
                  <c:v>-4.023</c:v>
                </c:pt>
                <c:pt idx="984">
                  <c:v>-3.522</c:v>
                </c:pt>
                <c:pt idx="985">
                  <c:v>-2.904</c:v>
                </c:pt>
                <c:pt idx="986">
                  <c:v>-2.273</c:v>
                </c:pt>
                <c:pt idx="987">
                  <c:v>-1.631</c:v>
                </c:pt>
                <c:pt idx="988">
                  <c:v>0,982</c:v>
                </c:pt>
                <c:pt idx="989">
                  <c:v>0,328</c:v>
                </c:pt>
                <c:pt idx="990">
                  <c:v>0,328</c:v>
                </c:pt>
                <c:pt idx="991">
                  <c:v>0,982</c:v>
                </c:pt>
                <c:pt idx="992">
                  <c:v>1.631</c:v>
                </c:pt>
                <c:pt idx="993">
                  <c:v>2.270</c:v>
                </c:pt>
                <c:pt idx="994">
                  <c:v>3.218</c:v>
                </c:pt>
                <c:pt idx="995">
                  <c:v>3.825</c:v>
                </c:pt>
                <c:pt idx="996">
                  <c:v>4.413</c:v>
                </c:pt>
                <c:pt idx="997">
                  <c:v>5.265</c:v>
                </c:pt>
                <c:pt idx="998">
                  <c:v>6.058</c:v>
                </c:pt>
                <c:pt idx="999">
                  <c:v>6.788</c:v>
                </c:pt>
                <c:pt idx="1000">
                  <c:v>7.446</c:v>
                </c:pt>
                <c:pt idx="1001">
                  <c:v>8.027</c:v>
                </c:pt>
                <c:pt idx="1002">
                  <c:v>8.523</c:v>
                </c:pt>
                <c:pt idx="1003">
                  <c:v>8.930</c:v>
                </c:pt>
                <c:pt idx="1004">
                  <c:v>9.244</c:v>
                </c:pt>
                <c:pt idx="1005">
                  <c:v>9.461</c:v>
                </c:pt>
                <c:pt idx="1006">
                  <c:v>9.549</c:v>
                </c:pt>
                <c:pt idx="1007">
                  <c:v>9.594</c:v>
                </c:pt>
                <c:pt idx="1008">
                  <c:v>9.600</c:v>
                </c:pt>
                <c:pt idx="1009">
                  <c:v>8.906</c:v>
                </c:pt>
                <c:pt idx="1010">
                  <c:v>6.588</c:v>
                </c:pt>
                <c:pt idx="1011">
                  <c:v>-6.391</c:v>
                </c:pt>
                <c:pt idx="1012">
                  <c:v>3.522</c:v>
                </c:pt>
                <c:pt idx="1013">
                  <c:v>3.081</c:v>
                </c:pt>
                <c:pt idx="1014">
                  <c:v>2.602</c:v>
                </c:pt>
                <c:pt idx="1015">
                  <c:v>2.059</c:v>
                </c:pt>
                <c:pt idx="1016">
                  <c:v>1.733</c:v>
                </c:pt>
                <c:pt idx="1017">
                  <c:v>1.398</c:v>
                </c:pt>
                <c:pt idx="1018">
                  <c:v>0,761</c:v>
                </c:pt>
                <c:pt idx="1019">
                  <c:v>0,408</c:v>
                </c:pt>
                <c:pt idx="1020">
                  <c:v>0,015</c:v>
                </c:pt>
                <c:pt idx="1021">
                  <c:v>0,38</c:v>
                </c:pt>
                <c:pt idx="1022">
                  <c:v>0,776</c:v>
                </c:pt>
                <c:pt idx="1023">
                  <c:v>-1.171</c:v>
                </c:pt>
                <c:pt idx="1024">
                  <c:v>-1.563</c:v>
                </c:pt>
                <c:pt idx="1025">
                  <c:v>-1.951</c:v>
                </c:pt>
                <c:pt idx="1026">
                  <c:v>-2.333</c:v>
                </c:pt>
                <c:pt idx="1027">
                  <c:v>-2.713</c:v>
                </c:pt>
                <c:pt idx="1028">
                  <c:v>-2.994</c:v>
                </c:pt>
                <c:pt idx="1029">
                  <c:v>-3.606</c:v>
                </c:pt>
                <c:pt idx="1030">
                  <c:v>-3.923</c:v>
                </c:pt>
                <c:pt idx="1031">
                  <c:v>-4.239</c:v>
                </c:pt>
                <c:pt idx="1032">
                  <c:v>-4.537</c:v>
                </c:pt>
                <c:pt idx="1033">
                  <c:v>-4.817</c:v>
                </c:pt>
                <c:pt idx="1034">
                  <c:v>-5.077</c:v>
                </c:pt>
                <c:pt idx="1035">
                  <c:v>-5.295</c:v>
                </c:pt>
                <c:pt idx="1036">
                  <c:v>-5.631</c:v>
                </c:pt>
                <c:pt idx="1037">
                  <c:v>-5.911</c:v>
                </c:pt>
                <c:pt idx="1038">
                  <c:v>-6.044</c:v>
                </c:pt>
                <c:pt idx="1039">
                  <c:v>-6.163</c:v>
                </c:pt>
                <c:pt idx="1040">
                  <c:v>-6.257</c:v>
                </c:pt>
                <c:pt idx="1041">
                  <c:v>-6.324</c:v>
                </c:pt>
                <c:pt idx="1042">
                  <c:v>-6.379</c:v>
                </c:pt>
                <c:pt idx="1043">
                  <c:v>-6.380</c:v>
                </c:pt>
                <c:pt idx="1044">
                  <c:v>4.677</c:v>
                </c:pt>
                <c:pt idx="1045">
                  <c:v>4.677</c:v>
                </c:pt>
                <c:pt idx="1046">
                  <c:v>7.287</c:v>
                </c:pt>
                <c:pt idx="1047">
                  <c:v>-7.288</c:v>
                </c:pt>
                <c:pt idx="1048">
                  <c:v>-7.286</c:v>
                </c:pt>
                <c:pt idx="1049">
                  <c:v>-7.271</c:v>
                </c:pt>
                <c:pt idx="1050">
                  <c:v>-7.219</c:v>
                </c:pt>
                <c:pt idx="1051">
                  <c:v>-7.135</c:v>
                </c:pt>
                <c:pt idx="1052">
                  <c:v>-7.017</c:v>
                </c:pt>
                <c:pt idx="1053">
                  <c:v>-6.863</c:v>
                </c:pt>
                <c:pt idx="1054">
                  <c:v>-6.584</c:v>
                </c:pt>
                <c:pt idx="1055">
                  <c:v>-6.363</c:v>
                </c:pt>
                <c:pt idx="1056">
                  <c:v>-5.939</c:v>
                </c:pt>
                <c:pt idx="1057">
                  <c:v>-5.653</c:v>
                </c:pt>
                <c:pt idx="1058">
                  <c:v>-5.326</c:v>
                </c:pt>
                <c:pt idx="1059">
                  <c:v>-4.974</c:v>
                </c:pt>
                <c:pt idx="1060">
                  <c:v>-4.599</c:v>
                </c:pt>
                <c:pt idx="1061">
                  <c:v>-4.202</c:v>
                </c:pt>
                <c:pt idx="1062">
                  <c:v>-3.786</c:v>
                </c:pt>
                <c:pt idx="1063">
                  <c:v>-3.353</c:v>
                </c:pt>
                <c:pt idx="1064">
                  <c:v>-2.903</c:v>
                </c:pt>
                <c:pt idx="1065">
                  <c:v>-2.440</c:v>
                </c:pt>
                <c:pt idx="1066">
                  <c:v>-1.988</c:v>
                </c:pt>
                <c:pt idx="1067">
                  <c:v>-1.215</c:v>
                </c:pt>
                <c:pt idx="1068">
                  <c:v>0,745</c:v>
                </c:pt>
                <c:pt idx="1069">
                  <c:v>0,249</c:v>
                </c:pt>
                <c:pt idx="1070">
                  <c:v>0,249</c:v>
                </c:pt>
                <c:pt idx="1071">
                  <c:v>0,745</c:v>
                </c:pt>
                <c:pt idx="1072">
                  <c:v>1.238</c:v>
                </c:pt>
                <c:pt idx="1073">
                  <c:v>1.725</c:v>
                </c:pt>
                <c:pt idx="1074">
                  <c:v>2.529</c:v>
                </c:pt>
                <c:pt idx="1075">
                  <c:v>2.898</c:v>
                </c:pt>
                <c:pt idx="1076">
                  <c:v>3.332</c:v>
                </c:pt>
                <c:pt idx="1077">
                  <c:v>3.996</c:v>
                </c:pt>
                <c:pt idx="1078">
                  <c:v>4.598</c:v>
                </c:pt>
                <c:pt idx="1079">
                  <c:v>5.151</c:v>
                </c:pt>
                <c:pt idx="1080">
                  <c:v>5.651</c:v>
                </c:pt>
                <c:pt idx="1081">
                  <c:v>6.092</c:v>
                </c:pt>
                <c:pt idx="1082">
                  <c:v>6.468</c:v>
                </c:pt>
                <c:pt idx="1083">
                  <c:v>6.777</c:v>
                </c:pt>
                <c:pt idx="1084">
                  <c:v>7.015</c:v>
                </c:pt>
                <c:pt idx="1085">
                  <c:v>7.184</c:v>
                </c:pt>
                <c:pt idx="1086">
                  <c:v>7.249</c:v>
                </c:pt>
                <c:pt idx="1087">
                  <c:v>7.283</c:v>
                </c:pt>
                <c:pt idx="1088">
                  <c:v>7.287</c:v>
                </c:pt>
                <c:pt idx="1089">
                  <c:v>8.584</c:v>
                </c:pt>
                <c:pt idx="1090">
                  <c:v>-8.584</c:v>
                </c:pt>
                <c:pt idx="1091">
                  <c:v>-8.582</c:v>
                </c:pt>
                <c:pt idx="1092">
                  <c:v>-8.564</c:v>
                </c:pt>
                <c:pt idx="1093">
                  <c:v>-8.504</c:v>
                </c:pt>
                <c:pt idx="1094">
                  <c:v>-8.404</c:v>
                </c:pt>
                <c:pt idx="1095">
                  <c:v>-8.265</c:v>
                </c:pt>
                <c:pt idx="1096">
                  <c:v>-8.086</c:v>
                </c:pt>
                <c:pt idx="1097">
                  <c:v>-7.753</c:v>
                </c:pt>
                <c:pt idx="1098">
                  <c:v>-7.488</c:v>
                </c:pt>
                <c:pt idx="1099">
                  <c:v>-7.005</c:v>
                </c:pt>
                <c:pt idx="1100">
                  <c:v>-6.658</c:v>
                </c:pt>
                <c:pt idx="1101">
                  <c:v>-6.273</c:v>
                </c:pt>
                <c:pt idx="1102">
                  <c:v>-5.859</c:v>
                </c:pt>
                <c:pt idx="1103">
                  <c:v>-5.417</c:v>
                </c:pt>
                <c:pt idx="1104">
                  <c:v>-4.950</c:v>
                </c:pt>
                <c:pt idx="1105">
                  <c:v>-4.460</c:v>
                </c:pt>
                <c:pt idx="1106">
                  <c:v>-3.949</c:v>
                </c:pt>
                <c:pt idx="1107">
                  <c:v>-3.420</c:v>
                </c:pt>
                <c:pt idx="1108">
                  <c:v>-2.874</c:v>
                </c:pt>
                <c:pt idx="1109">
                  <c:v>-2.327</c:v>
                </c:pt>
                <c:pt idx="1110">
                  <c:v>-1.446</c:v>
                </c:pt>
                <c:pt idx="1111">
                  <c:v>0,878</c:v>
                </c:pt>
                <c:pt idx="1112">
                  <c:v>0,293</c:v>
                </c:pt>
                <c:pt idx="1113">
                  <c:v>0,293</c:v>
                </c:pt>
                <c:pt idx="1114">
                  <c:v>0,878</c:v>
                </c:pt>
                <c:pt idx="1115">
                  <c:v>1.458</c:v>
                </c:pt>
                <c:pt idx="1116">
                  <c:v>2.032</c:v>
                </c:pt>
                <c:pt idx="1117">
                  <c:v>2.602</c:v>
                </c:pt>
                <c:pt idx="1118">
                  <c:v>2.982</c:v>
                </c:pt>
                <c:pt idx="1119">
                  <c:v>3.417</c:v>
                </c:pt>
                <c:pt idx="1120">
                  <c:v>3.938</c:v>
                </c:pt>
                <c:pt idx="1121">
                  <c:v>4.707</c:v>
                </c:pt>
                <c:pt idx="1122">
                  <c:v>5.416</c:v>
                </c:pt>
                <c:pt idx="1123">
                  <c:v>6.069</c:v>
                </c:pt>
                <c:pt idx="1124">
                  <c:v>6.658</c:v>
                </c:pt>
                <c:pt idx="1125">
                  <c:v>7.177</c:v>
                </c:pt>
                <c:pt idx="1126">
                  <c:v>7.620</c:v>
                </c:pt>
                <c:pt idx="1127">
                  <c:v>7.984</c:v>
                </c:pt>
                <c:pt idx="1128">
                  <c:v>8.264</c:v>
                </c:pt>
                <c:pt idx="1129">
                  <c:v>8.460</c:v>
                </c:pt>
                <c:pt idx="1130">
                  <c:v>8.539</c:v>
                </c:pt>
                <c:pt idx="1131">
                  <c:v>8.579</c:v>
                </c:pt>
                <c:pt idx="1132">
                  <c:v>8.584</c:v>
                </c:pt>
                <c:pt idx="1133">
                  <c:v>9.600</c:v>
                </c:pt>
                <c:pt idx="1134">
                  <c:v>-9.600</c:v>
                </c:pt>
                <c:pt idx="1135">
                  <c:v>-9.598</c:v>
                </c:pt>
                <c:pt idx="1136">
                  <c:v>-9.577</c:v>
                </c:pt>
                <c:pt idx="1137">
                  <c:v>-9.510</c:v>
                </c:pt>
                <c:pt idx="1138">
                  <c:v>-9.399</c:v>
                </c:pt>
                <c:pt idx="1139">
                  <c:v>-9.244</c:v>
                </c:pt>
                <c:pt idx="1140">
                  <c:v>-9.045</c:v>
                </c:pt>
                <c:pt idx="1141">
                  <c:v>-8.670</c:v>
                </c:pt>
                <c:pt idx="1142">
                  <c:v>-8.369</c:v>
                </c:pt>
                <c:pt idx="1143">
                  <c:v>-7.841</c:v>
                </c:pt>
                <c:pt idx="1144">
                  <c:v>-7.447</c:v>
                </c:pt>
                <c:pt idx="1145">
                  <c:v>-7.016</c:v>
                </c:pt>
                <c:pt idx="1146">
                  <c:v>-6.552</c:v>
                </c:pt>
                <c:pt idx="1147">
                  <c:v>-6.058</c:v>
                </c:pt>
                <c:pt idx="1148">
                  <c:v>-5.536</c:v>
                </c:pt>
                <c:pt idx="1149">
                  <c:v>-4.988</c:v>
                </c:pt>
                <c:pt idx="1150">
                  <c:v>-4.417</c:v>
                </c:pt>
                <c:pt idx="1151">
                  <c:v>-3.825</c:v>
                </c:pt>
                <c:pt idx="1152">
                  <c:v>-3.215</c:v>
                </c:pt>
                <c:pt idx="1153">
                  <c:v>-2.593</c:v>
                </c:pt>
                <c:pt idx="1154">
                  <c:v>-1.628</c:v>
                </c:pt>
                <c:pt idx="1155">
                  <c:v>0,982</c:v>
                </c:pt>
                <c:pt idx="1156">
                  <c:v>0,328</c:v>
                </c:pt>
                <c:pt idx="1157">
                  <c:v>0,328</c:v>
                </c:pt>
                <c:pt idx="1158">
                  <c:v>0,982</c:v>
                </c:pt>
                <c:pt idx="1159">
                  <c:v>1.631</c:v>
                </c:pt>
                <c:pt idx="1160">
                  <c:v>2.273</c:v>
                </c:pt>
                <c:pt idx="1161">
                  <c:v>2.905</c:v>
                </c:pt>
                <c:pt idx="1162">
                  <c:v>3.337</c:v>
                </c:pt>
                <c:pt idx="1163">
                  <c:v>3.824</c:v>
                </c:pt>
                <c:pt idx="1164">
                  <c:v>4.413</c:v>
                </c:pt>
                <c:pt idx="1165">
                  <c:v>5.265</c:v>
                </c:pt>
                <c:pt idx="1166">
                  <c:v>6.058</c:v>
                </c:pt>
                <c:pt idx="1167">
                  <c:v>6.788</c:v>
                </c:pt>
                <c:pt idx="1168">
                  <c:v>7.446</c:v>
                </c:pt>
                <c:pt idx="1169">
                  <c:v>8.027</c:v>
                </c:pt>
                <c:pt idx="1170">
                  <c:v>8.523</c:v>
                </c:pt>
                <c:pt idx="1171">
                  <c:v>8.930</c:v>
                </c:pt>
                <c:pt idx="1172">
                  <c:v>9.244</c:v>
                </c:pt>
                <c:pt idx="1173">
                  <c:v>9.461</c:v>
                </c:pt>
                <c:pt idx="1174">
                  <c:v>9.549</c:v>
                </c:pt>
                <c:pt idx="1175">
                  <c:v>9.594</c:v>
                </c:pt>
                <c:pt idx="1176">
                  <c:v>9.600</c:v>
                </c:pt>
                <c:pt idx="1177">
                  <c:v>8.906</c:v>
                </c:pt>
                <c:pt idx="1178">
                  <c:v>6.588</c:v>
                </c:pt>
                <c:pt idx="1179">
                  <c:v>-6.391</c:v>
                </c:pt>
                <c:pt idx="1180">
                  <c:v>3.522</c:v>
                </c:pt>
                <c:pt idx="1181">
                  <c:v>3.081</c:v>
                </c:pt>
                <c:pt idx="1182">
                  <c:v>2.602</c:v>
                </c:pt>
                <c:pt idx="1183">
                  <c:v>2.059</c:v>
                </c:pt>
                <c:pt idx="1184">
                  <c:v>1.457</c:v>
                </c:pt>
                <c:pt idx="1185">
                  <c:v>0,778</c:v>
                </c:pt>
                <c:pt idx="1186">
                  <c:v>0,408</c:v>
                </c:pt>
                <c:pt idx="1187">
                  <c:v>0,015</c:v>
                </c:pt>
                <c:pt idx="1188">
                  <c:v>0,38</c:v>
                </c:pt>
                <c:pt idx="1189">
                  <c:v>0,776</c:v>
                </c:pt>
                <c:pt idx="1190">
                  <c:v>-1.171</c:v>
                </c:pt>
                <c:pt idx="1191">
                  <c:v>-1.528</c:v>
                </c:pt>
                <c:pt idx="1192">
                  <c:v>-2.177</c:v>
                </c:pt>
                <c:pt idx="1193">
                  <c:v>-2.520</c:v>
                </c:pt>
                <c:pt idx="1194">
                  <c:v>-2.889</c:v>
                </c:pt>
                <c:pt idx="1195">
                  <c:v>-3.246</c:v>
                </c:pt>
                <c:pt idx="1196">
                  <c:v>-3.592</c:v>
                </c:pt>
                <c:pt idx="1197">
                  <c:v>-3.923</c:v>
                </c:pt>
                <c:pt idx="1198">
                  <c:v>-4.239</c:v>
                </c:pt>
                <c:pt idx="1199">
                  <c:v>-4.537</c:v>
                </c:pt>
                <c:pt idx="1200">
                  <c:v>-4.817</c:v>
                </c:pt>
                <c:pt idx="1201">
                  <c:v>-5.077</c:v>
                </c:pt>
                <c:pt idx="1202">
                  <c:v>-5.295</c:v>
                </c:pt>
                <c:pt idx="1203">
                  <c:v>-5.651</c:v>
                </c:pt>
                <c:pt idx="1204">
                  <c:v>-5.820</c:v>
                </c:pt>
                <c:pt idx="1205">
                  <c:v>-5.936</c:v>
                </c:pt>
                <c:pt idx="1206">
                  <c:v>-6.168</c:v>
                </c:pt>
                <c:pt idx="1207">
                  <c:v>-6.257</c:v>
                </c:pt>
                <c:pt idx="1208">
                  <c:v>-6.324</c:v>
                </c:pt>
                <c:pt idx="1209">
                  <c:v>-6.379</c:v>
                </c:pt>
                <c:pt idx="1210">
                  <c:v>-6.380</c:v>
                </c:pt>
                <c:pt idx="1211">
                  <c:v>4.677</c:v>
                </c:pt>
                <c:pt idx="1212">
                  <c:v>4.677</c:v>
                </c:pt>
                <c:pt idx="1213">
                  <c:v>7.287</c:v>
                </c:pt>
                <c:pt idx="1214">
                  <c:v>-7.288</c:v>
                </c:pt>
                <c:pt idx="1215">
                  <c:v>-7.286</c:v>
                </c:pt>
                <c:pt idx="1216">
                  <c:v>-7.271</c:v>
                </c:pt>
                <c:pt idx="1217">
                  <c:v>-7.219</c:v>
                </c:pt>
                <c:pt idx="1218">
                  <c:v>-7.135</c:v>
                </c:pt>
                <c:pt idx="1219">
                  <c:v>-7.017</c:v>
                </c:pt>
                <c:pt idx="1220">
                  <c:v>-6.864</c:v>
                </c:pt>
                <c:pt idx="1221">
                  <c:v>-6.584</c:v>
                </c:pt>
                <c:pt idx="1222">
                  <c:v>-6.363</c:v>
                </c:pt>
                <c:pt idx="1223">
                  <c:v>-5.939</c:v>
                </c:pt>
                <c:pt idx="1224">
                  <c:v>-5.653</c:v>
                </c:pt>
                <c:pt idx="1225">
                  <c:v>-5.326</c:v>
                </c:pt>
                <c:pt idx="1226">
                  <c:v>-4.974</c:v>
                </c:pt>
                <c:pt idx="1227">
                  <c:v>-4.599</c:v>
                </c:pt>
                <c:pt idx="1228">
                  <c:v>-4.202</c:v>
                </c:pt>
                <c:pt idx="1229">
                  <c:v>-3.786</c:v>
                </c:pt>
                <c:pt idx="1230">
                  <c:v>-3.345</c:v>
                </c:pt>
                <c:pt idx="1231">
                  <c:v>-3.028</c:v>
                </c:pt>
                <c:pt idx="1232">
                  <c:v>-2.680</c:v>
                </c:pt>
                <c:pt idx="1233">
                  <c:v>-2.204</c:v>
                </c:pt>
                <c:pt idx="1234">
                  <c:v>-1.725</c:v>
                </c:pt>
                <c:pt idx="1235">
                  <c:v>-1.238</c:v>
                </c:pt>
                <c:pt idx="1236">
                  <c:v>0,745</c:v>
                </c:pt>
                <c:pt idx="1237">
                  <c:v>0,249</c:v>
                </c:pt>
                <c:pt idx="1238">
                  <c:v>0,249</c:v>
                </c:pt>
                <c:pt idx="1239">
                  <c:v>0,745</c:v>
                </c:pt>
                <c:pt idx="1240">
                  <c:v>1.238</c:v>
                </c:pt>
                <c:pt idx="1241">
                  <c:v>1.703</c:v>
                </c:pt>
                <c:pt idx="1242">
                  <c:v>2.462</c:v>
                </c:pt>
                <c:pt idx="1243">
                  <c:v>2.903</c:v>
                </c:pt>
                <c:pt idx="1244">
                  <c:v>3.332</c:v>
                </c:pt>
                <c:pt idx="1245">
                  <c:v>3.996</c:v>
                </c:pt>
                <c:pt idx="1246">
                  <c:v>4.598</c:v>
                </c:pt>
                <c:pt idx="1247">
                  <c:v>5.151</c:v>
                </c:pt>
                <c:pt idx="1248">
                  <c:v>5.651</c:v>
                </c:pt>
                <c:pt idx="1249">
                  <c:v>6.092</c:v>
                </c:pt>
                <c:pt idx="1250">
                  <c:v>6.468</c:v>
                </c:pt>
                <c:pt idx="1251">
                  <c:v>6.777</c:v>
                </c:pt>
                <c:pt idx="1252">
                  <c:v>7.022</c:v>
                </c:pt>
                <c:pt idx="1253">
                  <c:v>7.137</c:v>
                </c:pt>
                <c:pt idx="1254">
                  <c:v>7.199</c:v>
                </c:pt>
                <c:pt idx="1255">
                  <c:v>7.249</c:v>
                </c:pt>
                <c:pt idx="1256">
                  <c:v>7.283</c:v>
                </c:pt>
                <c:pt idx="1257">
                  <c:v>7.287</c:v>
                </c:pt>
                <c:pt idx="1258">
                  <c:v>8.584</c:v>
                </c:pt>
                <c:pt idx="1259">
                  <c:v>-8.584</c:v>
                </c:pt>
                <c:pt idx="1260">
                  <c:v>-8.582</c:v>
                </c:pt>
                <c:pt idx="1261">
                  <c:v>-8.564</c:v>
                </c:pt>
                <c:pt idx="1262">
                  <c:v>-8.504</c:v>
                </c:pt>
                <c:pt idx="1263">
                  <c:v>-8.404</c:v>
                </c:pt>
                <c:pt idx="1264">
                  <c:v>-8.265</c:v>
                </c:pt>
                <c:pt idx="1265">
                  <c:v>-8.087</c:v>
                </c:pt>
                <c:pt idx="1266">
                  <c:v>-7.753</c:v>
                </c:pt>
                <c:pt idx="1267">
                  <c:v>-7.488</c:v>
                </c:pt>
                <c:pt idx="1268">
                  <c:v>-7.005</c:v>
                </c:pt>
                <c:pt idx="1269">
                  <c:v>-6.658</c:v>
                </c:pt>
                <c:pt idx="1270">
                  <c:v>-6.273</c:v>
                </c:pt>
                <c:pt idx="1271">
                  <c:v>-5.859</c:v>
                </c:pt>
                <c:pt idx="1272">
                  <c:v>-5.417</c:v>
                </c:pt>
                <c:pt idx="1273">
                  <c:v>-4.950</c:v>
                </c:pt>
                <c:pt idx="1274">
                  <c:v>-4.460</c:v>
                </c:pt>
                <c:pt idx="1275">
                  <c:v>-3.945</c:v>
                </c:pt>
                <c:pt idx="1276">
                  <c:v>-3.565</c:v>
                </c:pt>
                <c:pt idx="1277">
                  <c:v>-3.152</c:v>
                </c:pt>
                <c:pt idx="1278">
                  <c:v>-2.597</c:v>
                </c:pt>
                <c:pt idx="1279">
                  <c:v>-2.032</c:v>
                </c:pt>
                <c:pt idx="1280">
                  <c:v>-1.458</c:v>
                </c:pt>
                <c:pt idx="1281">
                  <c:v>0,878</c:v>
                </c:pt>
                <c:pt idx="1282">
                  <c:v>0,293</c:v>
                </c:pt>
                <c:pt idx="1283">
                  <c:v>0,293</c:v>
                </c:pt>
                <c:pt idx="1284">
                  <c:v>0,878</c:v>
                </c:pt>
                <c:pt idx="1285">
                  <c:v>1.458</c:v>
                </c:pt>
                <c:pt idx="1286">
                  <c:v>2.020</c:v>
                </c:pt>
                <c:pt idx="1287">
                  <c:v>2.886</c:v>
                </c:pt>
                <c:pt idx="1288">
                  <c:v>3.420</c:v>
                </c:pt>
                <c:pt idx="1289">
                  <c:v>3.938</c:v>
                </c:pt>
                <c:pt idx="1290">
                  <c:v>4.707</c:v>
                </c:pt>
                <c:pt idx="1291">
                  <c:v>5.416</c:v>
                </c:pt>
                <c:pt idx="1292">
                  <c:v>6.069</c:v>
                </c:pt>
                <c:pt idx="1293">
                  <c:v>6.658</c:v>
                </c:pt>
                <c:pt idx="1294">
                  <c:v>7.177</c:v>
                </c:pt>
                <c:pt idx="1295">
                  <c:v>7.620</c:v>
                </c:pt>
                <c:pt idx="1296">
                  <c:v>7.984</c:v>
                </c:pt>
                <c:pt idx="1297">
                  <c:v>8.268</c:v>
                </c:pt>
                <c:pt idx="1298">
                  <c:v>8.405</c:v>
                </c:pt>
                <c:pt idx="1299">
                  <c:v>8.479</c:v>
                </c:pt>
                <c:pt idx="1300">
                  <c:v>8.538</c:v>
                </c:pt>
                <c:pt idx="1301">
                  <c:v>8.579</c:v>
                </c:pt>
                <c:pt idx="1302">
                  <c:v>8.584</c:v>
                </c:pt>
                <c:pt idx="1303">
                  <c:v>9.600</c:v>
                </c:pt>
                <c:pt idx="1304">
                  <c:v>-9.600</c:v>
                </c:pt>
                <c:pt idx="1305">
                  <c:v>-9.597</c:v>
                </c:pt>
                <c:pt idx="1306">
                  <c:v>-9.577</c:v>
                </c:pt>
                <c:pt idx="1307">
                  <c:v>-9.510</c:v>
                </c:pt>
                <c:pt idx="1308">
                  <c:v>-9.399</c:v>
                </c:pt>
                <c:pt idx="1309">
                  <c:v>-9.244</c:v>
                </c:pt>
                <c:pt idx="1310">
                  <c:v>-9.045</c:v>
                </c:pt>
                <c:pt idx="1311">
                  <c:v>-8.670</c:v>
                </c:pt>
                <c:pt idx="1312">
                  <c:v>-8.369</c:v>
                </c:pt>
                <c:pt idx="1313">
                  <c:v>-7.841</c:v>
                </c:pt>
                <c:pt idx="1314">
                  <c:v>-7.447</c:v>
                </c:pt>
                <c:pt idx="1315">
                  <c:v>-7.016</c:v>
                </c:pt>
                <c:pt idx="1316">
                  <c:v>-6.552</c:v>
                </c:pt>
                <c:pt idx="1317">
                  <c:v>-6.058</c:v>
                </c:pt>
                <c:pt idx="1318">
                  <c:v>-5.536</c:v>
                </c:pt>
                <c:pt idx="1319">
                  <c:v>-4.988</c:v>
                </c:pt>
                <c:pt idx="1320">
                  <c:v>-4.415</c:v>
                </c:pt>
                <c:pt idx="1321">
                  <c:v>-3.986</c:v>
                </c:pt>
                <c:pt idx="1322">
                  <c:v>-3.523</c:v>
                </c:pt>
                <c:pt idx="1323">
                  <c:v>-2.904</c:v>
                </c:pt>
                <c:pt idx="1324">
                  <c:v>-2.273</c:v>
                </c:pt>
                <c:pt idx="1325">
                  <c:v>-1.631</c:v>
                </c:pt>
                <c:pt idx="1326">
                  <c:v>0,982</c:v>
                </c:pt>
                <c:pt idx="1327">
                  <c:v>0,328</c:v>
                </c:pt>
                <c:pt idx="1328">
                  <c:v>0,328</c:v>
                </c:pt>
                <c:pt idx="1329">
                  <c:v>0,982</c:v>
                </c:pt>
                <c:pt idx="1330">
                  <c:v>1.631</c:v>
                </c:pt>
                <c:pt idx="1331">
                  <c:v>2.270</c:v>
                </c:pt>
                <c:pt idx="1332">
                  <c:v>3.218</c:v>
                </c:pt>
                <c:pt idx="1333">
                  <c:v>3.825</c:v>
                </c:pt>
                <c:pt idx="1334">
                  <c:v>4.413</c:v>
                </c:pt>
                <c:pt idx="1335">
                  <c:v>5.265</c:v>
                </c:pt>
                <c:pt idx="1336">
                  <c:v>6.058</c:v>
                </c:pt>
                <c:pt idx="1337">
                  <c:v>6.788</c:v>
                </c:pt>
                <c:pt idx="1338">
                  <c:v>7.446</c:v>
                </c:pt>
                <c:pt idx="1339">
                  <c:v>8.027</c:v>
                </c:pt>
                <c:pt idx="1340">
                  <c:v>8.523</c:v>
                </c:pt>
                <c:pt idx="1341">
                  <c:v>8.930</c:v>
                </c:pt>
                <c:pt idx="1342">
                  <c:v>9.245</c:v>
                </c:pt>
                <c:pt idx="1343">
                  <c:v>9.399</c:v>
                </c:pt>
                <c:pt idx="1344">
                  <c:v>9.483</c:v>
                </c:pt>
                <c:pt idx="1345">
                  <c:v>9.549</c:v>
                </c:pt>
                <c:pt idx="1346">
                  <c:v>9.594</c:v>
                </c:pt>
                <c:pt idx="1347">
                  <c:v>9.600</c:v>
                </c:pt>
                <c:pt idx="1348">
                  <c:v>8.906</c:v>
                </c:pt>
                <c:pt idx="1349">
                  <c:v>6.588</c:v>
                </c:pt>
                <c:pt idx="1350">
                  <c:v>-6.391</c:v>
                </c:pt>
                <c:pt idx="1351">
                  <c:v>3.522</c:v>
                </c:pt>
                <c:pt idx="1352">
                  <c:v>3.081</c:v>
                </c:pt>
                <c:pt idx="1353">
                  <c:v>2.602</c:v>
                </c:pt>
                <c:pt idx="1354">
                  <c:v>2.059</c:v>
                </c:pt>
                <c:pt idx="1355">
                  <c:v>1.733</c:v>
                </c:pt>
                <c:pt idx="1356">
                  <c:v>1.398</c:v>
                </c:pt>
                <c:pt idx="1357">
                  <c:v>0,761</c:v>
                </c:pt>
                <c:pt idx="1358">
                  <c:v>0,408</c:v>
                </c:pt>
                <c:pt idx="1359">
                  <c:v>0,015</c:v>
                </c:pt>
                <c:pt idx="1360">
                  <c:v>0,38</c:v>
                </c:pt>
                <c:pt idx="1361">
                  <c:v>0,776</c:v>
                </c:pt>
                <c:pt idx="1362">
                  <c:v>-1.171</c:v>
                </c:pt>
                <c:pt idx="1363">
                  <c:v>-1.563</c:v>
                </c:pt>
                <c:pt idx="1364">
                  <c:v>-1.951</c:v>
                </c:pt>
                <c:pt idx="1365">
                  <c:v>-2.333</c:v>
                </c:pt>
                <c:pt idx="1366">
                  <c:v>-2.989</c:v>
                </c:pt>
                <c:pt idx="1367">
                  <c:v>-3.592</c:v>
                </c:pt>
                <c:pt idx="1368">
                  <c:v>-3.923</c:v>
                </c:pt>
                <c:pt idx="1369">
                  <c:v>-4.239</c:v>
                </c:pt>
                <c:pt idx="1370">
                  <c:v>-4.537</c:v>
                </c:pt>
                <c:pt idx="1371">
                  <c:v>-4.817</c:v>
                </c:pt>
                <c:pt idx="1372">
                  <c:v>-5.077</c:v>
                </c:pt>
                <c:pt idx="1373">
                  <c:v>-5.295</c:v>
                </c:pt>
                <c:pt idx="1374">
                  <c:v>-5.651</c:v>
                </c:pt>
                <c:pt idx="1375">
                  <c:v>-5.821</c:v>
                </c:pt>
                <c:pt idx="1376">
                  <c:v>-6.040</c:v>
                </c:pt>
                <c:pt idx="1377">
                  <c:v>-6.163</c:v>
                </c:pt>
                <c:pt idx="1378">
                  <c:v>-6.257</c:v>
                </c:pt>
                <c:pt idx="1379">
                  <c:v>-6.324</c:v>
                </c:pt>
                <c:pt idx="1380">
                  <c:v>-6.378</c:v>
                </c:pt>
                <c:pt idx="1381">
                  <c:v>-6.380</c:v>
                </c:pt>
                <c:pt idx="1382">
                  <c:v>4.677</c:v>
                </c:pt>
                <c:pt idx="1383">
                  <c:v>4.677</c:v>
                </c:pt>
                <c:pt idx="1384">
                  <c:v>7.287</c:v>
                </c:pt>
                <c:pt idx="1385">
                  <c:v>-7.288</c:v>
                </c:pt>
                <c:pt idx="1386">
                  <c:v>-7.286</c:v>
                </c:pt>
                <c:pt idx="1387">
                  <c:v>-7.271</c:v>
                </c:pt>
                <c:pt idx="1388">
                  <c:v>-7.219</c:v>
                </c:pt>
                <c:pt idx="1389">
                  <c:v>-7.135</c:v>
                </c:pt>
                <c:pt idx="1390">
                  <c:v>-7.017</c:v>
                </c:pt>
                <c:pt idx="1391">
                  <c:v>-6.864</c:v>
                </c:pt>
                <c:pt idx="1392">
                  <c:v>-6.585</c:v>
                </c:pt>
                <c:pt idx="1393">
                  <c:v>-6.363</c:v>
                </c:pt>
                <c:pt idx="1394">
                  <c:v>-5.939</c:v>
                </c:pt>
                <c:pt idx="1395">
                  <c:v>-5.653</c:v>
                </c:pt>
                <c:pt idx="1396">
                  <c:v>-5.326</c:v>
                </c:pt>
                <c:pt idx="1397">
                  <c:v>-4.974</c:v>
                </c:pt>
                <c:pt idx="1398">
                  <c:v>-4.599</c:v>
                </c:pt>
                <c:pt idx="1399">
                  <c:v>-4.202</c:v>
                </c:pt>
                <c:pt idx="1400">
                  <c:v>-3.786</c:v>
                </c:pt>
                <c:pt idx="1401">
                  <c:v>-3.353</c:v>
                </c:pt>
                <c:pt idx="1402">
                  <c:v>-2.903</c:v>
                </c:pt>
                <c:pt idx="1403">
                  <c:v>-2.440</c:v>
                </c:pt>
                <c:pt idx="1404">
                  <c:v>-1.988</c:v>
                </c:pt>
                <c:pt idx="1405">
                  <c:v>-1.215</c:v>
                </c:pt>
                <c:pt idx="1406">
                  <c:v>0,745</c:v>
                </c:pt>
                <c:pt idx="1407">
                  <c:v>0,249</c:v>
                </c:pt>
                <c:pt idx="1408">
                  <c:v>0,249</c:v>
                </c:pt>
                <c:pt idx="1409">
                  <c:v>0,745</c:v>
                </c:pt>
                <c:pt idx="1410">
                  <c:v>1.238</c:v>
                </c:pt>
                <c:pt idx="1411">
                  <c:v>1.703</c:v>
                </c:pt>
                <c:pt idx="1412">
                  <c:v>2.462</c:v>
                </c:pt>
                <c:pt idx="1413">
                  <c:v>2.903</c:v>
                </c:pt>
                <c:pt idx="1414">
                  <c:v>3.332</c:v>
                </c:pt>
                <c:pt idx="1415">
                  <c:v>3.996</c:v>
                </c:pt>
                <c:pt idx="1416">
                  <c:v>4.598</c:v>
                </c:pt>
                <c:pt idx="1417">
                  <c:v>5.151</c:v>
                </c:pt>
                <c:pt idx="1418">
                  <c:v>5.651</c:v>
                </c:pt>
                <c:pt idx="1419">
                  <c:v>6.092</c:v>
                </c:pt>
                <c:pt idx="1420">
                  <c:v>6.468</c:v>
                </c:pt>
                <c:pt idx="1421">
                  <c:v>6.777</c:v>
                </c:pt>
                <c:pt idx="1422">
                  <c:v>7.022</c:v>
                </c:pt>
                <c:pt idx="1423">
                  <c:v>7.136</c:v>
                </c:pt>
                <c:pt idx="1424">
                  <c:v>7.202</c:v>
                </c:pt>
                <c:pt idx="1425">
                  <c:v>7.248</c:v>
                </c:pt>
                <c:pt idx="1426">
                  <c:v>7.283</c:v>
                </c:pt>
                <c:pt idx="1427">
                  <c:v>7.287</c:v>
                </c:pt>
                <c:pt idx="1428">
                  <c:v>8.584</c:v>
                </c:pt>
                <c:pt idx="1429">
                  <c:v>-8.584</c:v>
                </c:pt>
                <c:pt idx="1430">
                  <c:v>-8.581</c:v>
                </c:pt>
                <c:pt idx="1431">
                  <c:v>-8.564</c:v>
                </c:pt>
                <c:pt idx="1432">
                  <c:v>-8.504</c:v>
                </c:pt>
                <c:pt idx="1433">
                  <c:v>-8.404</c:v>
                </c:pt>
                <c:pt idx="1434">
                  <c:v>-8.265</c:v>
                </c:pt>
                <c:pt idx="1435">
                  <c:v>-8.087</c:v>
                </c:pt>
                <c:pt idx="1436">
                  <c:v>-7.754</c:v>
                </c:pt>
                <c:pt idx="1437">
                  <c:v>-7.488</c:v>
                </c:pt>
                <c:pt idx="1438">
                  <c:v>-7.005</c:v>
                </c:pt>
                <c:pt idx="1439">
                  <c:v>-6.658</c:v>
                </c:pt>
                <c:pt idx="1440">
                  <c:v>-6.273</c:v>
                </c:pt>
                <c:pt idx="1441">
                  <c:v>-5.859</c:v>
                </c:pt>
                <c:pt idx="1442">
                  <c:v>-5.417</c:v>
                </c:pt>
                <c:pt idx="1443">
                  <c:v>-4.950</c:v>
                </c:pt>
                <c:pt idx="1444">
                  <c:v>-4.460</c:v>
                </c:pt>
                <c:pt idx="1445">
                  <c:v>-3.949</c:v>
                </c:pt>
                <c:pt idx="1446">
                  <c:v>-3.420</c:v>
                </c:pt>
                <c:pt idx="1447">
                  <c:v>-2.874</c:v>
                </c:pt>
                <c:pt idx="1448">
                  <c:v>-2.327</c:v>
                </c:pt>
                <c:pt idx="1449">
                  <c:v>-1.446</c:v>
                </c:pt>
                <c:pt idx="1450">
                  <c:v>0,878</c:v>
                </c:pt>
                <c:pt idx="1451">
                  <c:v>0,293</c:v>
                </c:pt>
                <c:pt idx="1452">
                  <c:v>0,293</c:v>
                </c:pt>
                <c:pt idx="1453">
                  <c:v>0,878</c:v>
                </c:pt>
                <c:pt idx="1454">
                  <c:v>1.458</c:v>
                </c:pt>
                <c:pt idx="1455">
                  <c:v>2.020</c:v>
                </c:pt>
                <c:pt idx="1456">
                  <c:v>2.886</c:v>
                </c:pt>
                <c:pt idx="1457">
                  <c:v>3.420</c:v>
                </c:pt>
                <c:pt idx="1458">
                  <c:v>3.938</c:v>
                </c:pt>
                <c:pt idx="1459">
                  <c:v>4.707</c:v>
                </c:pt>
                <c:pt idx="1460">
                  <c:v>5.416</c:v>
                </c:pt>
                <c:pt idx="1461">
                  <c:v>6.069</c:v>
                </c:pt>
                <c:pt idx="1462">
                  <c:v>6.658</c:v>
                </c:pt>
                <c:pt idx="1463">
                  <c:v>7.177</c:v>
                </c:pt>
                <c:pt idx="1464">
                  <c:v>7.620</c:v>
                </c:pt>
                <c:pt idx="1465">
                  <c:v>7.984</c:v>
                </c:pt>
                <c:pt idx="1466">
                  <c:v>8.268</c:v>
                </c:pt>
                <c:pt idx="1467">
                  <c:v>8.405</c:v>
                </c:pt>
                <c:pt idx="1468">
                  <c:v>8.482</c:v>
                </c:pt>
                <c:pt idx="1469">
                  <c:v>8.538</c:v>
                </c:pt>
                <c:pt idx="1470">
                  <c:v>8.579</c:v>
                </c:pt>
                <c:pt idx="1471">
                  <c:v>8.584</c:v>
                </c:pt>
                <c:pt idx="1472">
                  <c:v>9.600</c:v>
                </c:pt>
                <c:pt idx="1473">
                  <c:v>-9.600</c:v>
                </c:pt>
                <c:pt idx="1474">
                  <c:v>-9.597</c:v>
                </c:pt>
                <c:pt idx="1475">
                  <c:v>-9.578</c:v>
                </c:pt>
                <c:pt idx="1476">
                  <c:v>-9.510</c:v>
                </c:pt>
                <c:pt idx="1477">
                  <c:v>-9.399</c:v>
                </c:pt>
                <c:pt idx="1478">
                  <c:v>-9.244</c:v>
                </c:pt>
                <c:pt idx="1479">
                  <c:v>-9.045</c:v>
                </c:pt>
                <c:pt idx="1480">
                  <c:v>-8.670</c:v>
                </c:pt>
                <c:pt idx="1481">
                  <c:v>-8.369</c:v>
                </c:pt>
                <c:pt idx="1482">
                  <c:v>-7.841</c:v>
                </c:pt>
                <c:pt idx="1483">
                  <c:v>-7.447</c:v>
                </c:pt>
                <c:pt idx="1484">
                  <c:v>-7.016</c:v>
                </c:pt>
                <c:pt idx="1485">
                  <c:v>-6.552</c:v>
                </c:pt>
                <c:pt idx="1486">
                  <c:v>-6.058</c:v>
                </c:pt>
                <c:pt idx="1487">
                  <c:v>-5.536</c:v>
                </c:pt>
                <c:pt idx="1488">
                  <c:v>-4.988</c:v>
                </c:pt>
                <c:pt idx="1489">
                  <c:v>-4.417</c:v>
                </c:pt>
                <c:pt idx="1490">
                  <c:v>-3.825</c:v>
                </c:pt>
                <c:pt idx="1491">
                  <c:v>-3.215</c:v>
                </c:pt>
                <c:pt idx="1492">
                  <c:v>-2.593</c:v>
                </c:pt>
                <c:pt idx="1493">
                  <c:v>-1.628</c:v>
                </c:pt>
                <c:pt idx="1494">
                  <c:v>0,982</c:v>
                </c:pt>
                <c:pt idx="1495">
                  <c:v>0,328</c:v>
                </c:pt>
                <c:pt idx="1496">
                  <c:v>0,328</c:v>
                </c:pt>
                <c:pt idx="1497">
                  <c:v>0,982</c:v>
                </c:pt>
                <c:pt idx="1498">
                  <c:v>1.631</c:v>
                </c:pt>
                <c:pt idx="1499">
                  <c:v>2.270</c:v>
                </c:pt>
                <c:pt idx="1500">
                  <c:v>3.218</c:v>
                </c:pt>
                <c:pt idx="1501">
                  <c:v>3.825</c:v>
                </c:pt>
                <c:pt idx="1502">
                  <c:v>4.413</c:v>
                </c:pt>
                <c:pt idx="1503">
                  <c:v>5.265</c:v>
                </c:pt>
                <c:pt idx="1504">
                  <c:v>6.058</c:v>
                </c:pt>
                <c:pt idx="1505">
                  <c:v>6.788</c:v>
                </c:pt>
                <c:pt idx="1506">
                  <c:v>7.446</c:v>
                </c:pt>
                <c:pt idx="1507">
                  <c:v>8.027</c:v>
                </c:pt>
                <c:pt idx="1508">
                  <c:v>8.523</c:v>
                </c:pt>
                <c:pt idx="1509">
                  <c:v>8.930</c:v>
                </c:pt>
                <c:pt idx="1510">
                  <c:v>9.245</c:v>
                </c:pt>
                <c:pt idx="1511">
                  <c:v>9.399</c:v>
                </c:pt>
                <c:pt idx="1512">
                  <c:v>9.486</c:v>
                </c:pt>
                <c:pt idx="1513">
                  <c:v>9.549</c:v>
                </c:pt>
                <c:pt idx="1514">
                  <c:v>9.594</c:v>
                </c:pt>
                <c:pt idx="1515">
                  <c:v>9.600</c:v>
                </c:pt>
                <c:pt idx="1516">
                  <c:v>8.906</c:v>
                </c:pt>
                <c:pt idx="1517">
                  <c:v>6.588</c:v>
                </c:pt>
                <c:pt idx="1518">
                  <c:v>-6.391</c:v>
                </c:pt>
                <c:pt idx="1519">
                  <c:v>3.522</c:v>
                </c:pt>
                <c:pt idx="1520">
                  <c:v>3.081</c:v>
                </c:pt>
                <c:pt idx="1521">
                  <c:v>2.602</c:v>
                </c:pt>
                <c:pt idx="1522">
                  <c:v>2.059</c:v>
                </c:pt>
                <c:pt idx="1523">
                  <c:v>1.733</c:v>
                </c:pt>
                <c:pt idx="1524">
                  <c:v>1.398</c:v>
                </c:pt>
                <c:pt idx="1525">
                  <c:v>0,761</c:v>
                </c:pt>
                <c:pt idx="1526">
                  <c:v>0,408</c:v>
                </c:pt>
                <c:pt idx="1527">
                  <c:v>0,015</c:v>
                </c:pt>
                <c:pt idx="1528">
                  <c:v>0,38</c:v>
                </c:pt>
                <c:pt idx="1529">
                  <c:v>0,776</c:v>
                </c:pt>
                <c:pt idx="1530">
                  <c:v>-1.171</c:v>
                </c:pt>
                <c:pt idx="1531">
                  <c:v>-1.528</c:v>
                </c:pt>
                <c:pt idx="1532">
                  <c:v>-2.177</c:v>
                </c:pt>
                <c:pt idx="1533">
                  <c:v>-2.520</c:v>
                </c:pt>
                <c:pt idx="1534">
                  <c:v>-2.889</c:v>
                </c:pt>
                <c:pt idx="1535">
                  <c:v>-3.246</c:v>
                </c:pt>
                <c:pt idx="1536">
                  <c:v>-3.592</c:v>
                </c:pt>
                <c:pt idx="1537">
                  <c:v>-3.923</c:v>
                </c:pt>
                <c:pt idx="1538">
                  <c:v>-4.239</c:v>
                </c:pt>
                <c:pt idx="1539">
                  <c:v>-4.537</c:v>
                </c:pt>
                <c:pt idx="1540">
                  <c:v>-4.817</c:v>
                </c:pt>
                <c:pt idx="1541">
                  <c:v>-5.077</c:v>
                </c:pt>
                <c:pt idx="1542">
                  <c:v>-5.295</c:v>
                </c:pt>
                <c:pt idx="1543">
                  <c:v>-5.651</c:v>
                </c:pt>
                <c:pt idx="1544">
                  <c:v>-5.822</c:v>
                </c:pt>
                <c:pt idx="1545">
                  <c:v>-6.040</c:v>
                </c:pt>
                <c:pt idx="1546">
                  <c:v>-6.163</c:v>
                </c:pt>
                <c:pt idx="1547">
                  <c:v>-6.257</c:v>
                </c:pt>
                <c:pt idx="1548">
                  <c:v>-6.324</c:v>
                </c:pt>
                <c:pt idx="1549">
                  <c:v>-6.378</c:v>
                </c:pt>
                <c:pt idx="1550">
                  <c:v>-6.380</c:v>
                </c:pt>
                <c:pt idx="1551">
                  <c:v>4.677</c:v>
                </c:pt>
                <c:pt idx="1552">
                  <c:v>4.677</c:v>
                </c:pt>
                <c:pt idx="1553">
                  <c:v>7.287</c:v>
                </c:pt>
                <c:pt idx="1554">
                  <c:v>-7.288</c:v>
                </c:pt>
                <c:pt idx="1555">
                  <c:v>-7.286</c:v>
                </c:pt>
                <c:pt idx="1556">
                  <c:v>-7.271</c:v>
                </c:pt>
                <c:pt idx="1557">
                  <c:v>-7.219</c:v>
                </c:pt>
                <c:pt idx="1558">
                  <c:v>-7.135</c:v>
                </c:pt>
                <c:pt idx="1559">
                  <c:v>-7.017</c:v>
                </c:pt>
                <c:pt idx="1560">
                  <c:v>-6.865</c:v>
                </c:pt>
                <c:pt idx="1561">
                  <c:v>-6.585</c:v>
                </c:pt>
                <c:pt idx="1562">
                  <c:v>-6.363</c:v>
                </c:pt>
                <c:pt idx="1563">
                  <c:v>-5.939</c:v>
                </c:pt>
                <c:pt idx="1564">
                  <c:v>-5.653</c:v>
                </c:pt>
                <c:pt idx="1565">
                  <c:v>-5.326</c:v>
                </c:pt>
                <c:pt idx="1566">
                  <c:v>-4.974</c:v>
                </c:pt>
                <c:pt idx="1567">
                  <c:v>-4.599</c:v>
                </c:pt>
                <c:pt idx="1568">
                  <c:v>-4.202</c:v>
                </c:pt>
                <c:pt idx="1569">
                  <c:v>-3.786</c:v>
                </c:pt>
                <c:pt idx="1570">
                  <c:v>-3.353</c:v>
                </c:pt>
                <c:pt idx="1571">
                  <c:v>-2.903</c:v>
                </c:pt>
                <c:pt idx="1572">
                  <c:v>-2.435</c:v>
                </c:pt>
                <c:pt idx="1573">
                  <c:v>-1.735</c:v>
                </c:pt>
                <c:pt idx="1574">
                  <c:v>-1.238</c:v>
                </c:pt>
                <c:pt idx="1575">
                  <c:v>0,745</c:v>
                </c:pt>
                <c:pt idx="1576">
                  <c:v>0,249</c:v>
                </c:pt>
                <c:pt idx="1577">
                  <c:v>0,249</c:v>
                </c:pt>
                <c:pt idx="1578">
                  <c:v>0,745</c:v>
                </c:pt>
                <c:pt idx="1579">
                  <c:v>1.238</c:v>
                </c:pt>
                <c:pt idx="1580">
                  <c:v>1.703</c:v>
                </c:pt>
                <c:pt idx="1581">
                  <c:v>2.462</c:v>
                </c:pt>
                <c:pt idx="1582">
                  <c:v>2.903</c:v>
                </c:pt>
                <c:pt idx="1583">
                  <c:v>3.332</c:v>
                </c:pt>
                <c:pt idx="1584">
                  <c:v>3.996</c:v>
                </c:pt>
                <c:pt idx="1585">
                  <c:v>4.598</c:v>
                </c:pt>
                <c:pt idx="1586">
                  <c:v>5.151</c:v>
                </c:pt>
                <c:pt idx="1587">
                  <c:v>5.651</c:v>
                </c:pt>
                <c:pt idx="1588">
                  <c:v>6.092</c:v>
                </c:pt>
                <c:pt idx="1589">
                  <c:v>6.468</c:v>
                </c:pt>
                <c:pt idx="1590">
                  <c:v>6.777</c:v>
                </c:pt>
                <c:pt idx="1591">
                  <c:v>7.015</c:v>
                </c:pt>
                <c:pt idx="1592">
                  <c:v>7.184</c:v>
                </c:pt>
                <c:pt idx="1593">
                  <c:v>7.249</c:v>
                </c:pt>
                <c:pt idx="1594">
                  <c:v>7.283</c:v>
                </c:pt>
                <c:pt idx="1595">
                  <c:v>7.287</c:v>
                </c:pt>
                <c:pt idx="1596">
                  <c:v>8.584</c:v>
                </c:pt>
                <c:pt idx="1597">
                  <c:v>-8.584</c:v>
                </c:pt>
                <c:pt idx="1598">
                  <c:v>-8.582</c:v>
                </c:pt>
                <c:pt idx="1599">
                  <c:v>-8.564</c:v>
                </c:pt>
                <c:pt idx="1600">
                  <c:v>-8.504</c:v>
                </c:pt>
                <c:pt idx="1601">
                  <c:v>-8.404</c:v>
                </c:pt>
                <c:pt idx="1602">
                  <c:v>-8.265</c:v>
                </c:pt>
                <c:pt idx="1603">
                  <c:v>-8.087</c:v>
                </c:pt>
                <c:pt idx="1604">
                  <c:v>-7.754</c:v>
                </c:pt>
                <c:pt idx="1605">
                  <c:v>-7.488</c:v>
                </c:pt>
                <c:pt idx="1606">
                  <c:v>-7.005</c:v>
                </c:pt>
                <c:pt idx="1607">
                  <c:v>-6.658</c:v>
                </c:pt>
                <c:pt idx="1608">
                  <c:v>-6.273</c:v>
                </c:pt>
                <c:pt idx="1609">
                  <c:v>-5.859</c:v>
                </c:pt>
                <c:pt idx="1610">
                  <c:v>-5.417</c:v>
                </c:pt>
                <c:pt idx="1611">
                  <c:v>-4.950</c:v>
                </c:pt>
                <c:pt idx="1612">
                  <c:v>-4.460</c:v>
                </c:pt>
                <c:pt idx="1613">
                  <c:v>-3.949</c:v>
                </c:pt>
                <c:pt idx="1614">
                  <c:v>-3.420</c:v>
                </c:pt>
                <c:pt idx="1615">
                  <c:v>-2.871</c:v>
                </c:pt>
                <c:pt idx="1616">
                  <c:v>-2.037</c:v>
                </c:pt>
                <c:pt idx="1617">
                  <c:v>-1.458</c:v>
                </c:pt>
                <c:pt idx="1618">
                  <c:v>0,878</c:v>
                </c:pt>
                <c:pt idx="1619">
                  <c:v>0,293</c:v>
                </c:pt>
                <c:pt idx="1620">
                  <c:v>0,293</c:v>
                </c:pt>
                <c:pt idx="1621">
                  <c:v>0,878</c:v>
                </c:pt>
                <c:pt idx="1622">
                  <c:v>1.458</c:v>
                </c:pt>
                <c:pt idx="1623">
                  <c:v>2.020</c:v>
                </c:pt>
                <c:pt idx="1624">
                  <c:v>2.886</c:v>
                </c:pt>
                <c:pt idx="1625">
                  <c:v>3.420</c:v>
                </c:pt>
                <c:pt idx="1626">
                  <c:v>3.938</c:v>
                </c:pt>
                <c:pt idx="1627">
                  <c:v>4.707</c:v>
                </c:pt>
                <c:pt idx="1628">
                  <c:v>5.416</c:v>
                </c:pt>
                <c:pt idx="1629">
                  <c:v>6.069</c:v>
                </c:pt>
                <c:pt idx="1630">
                  <c:v>6.658</c:v>
                </c:pt>
                <c:pt idx="1631">
                  <c:v>7.177</c:v>
                </c:pt>
                <c:pt idx="1632">
                  <c:v>7.620</c:v>
                </c:pt>
                <c:pt idx="1633">
                  <c:v>7.984</c:v>
                </c:pt>
                <c:pt idx="1634">
                  <c:v>8.264</c:v>
                </c:pt>
                <c:pt idx="1635">
                  <c:v>8.460</c:v>
                </c:pt>
                <c:pt idx="1636">
                  <c:v>8.539</c:v>
                </c:pt>
                <c:pt idx="1637">
                  <c:v>8.579</c:v>
                </c:pt>
                <c:pt idx="1638">
                  <c:v>8.584</c:v>
                </c:pt>
                <c:pt idx="1639">
                  <c:v>9.600</c:v>
                </c:pt>
                <c:pt idx="1640">
                  <c:v>-9.600</c:v>
                </c:pt>
                <c:pt idx="1641">
                  <c:v>-9.597</c:v>
                </c:pt>
                <c:pt idx="1642">
                  <c:v>-9.577</c:v>
                </c:pt>
                <c:pt idx="1643">
                  <c:v>-9.510</c:v>
                </c:pt>
                <c:pt idx="1644">
                  <c:v>-9.399</c:v>
                </c:pt>
                <c:pt idx="1645">
                  <c:v>-9.244</c:v>
                </c:pt>
                <c:pt idx="1646">
                  <c:v>-9.045</c:v>
                </c:pt>
                <c:pt idx="1647">
                  <c:v>-8.670</c:v>
                </c:pt>
                <c:pt idx="1648">
                  <c:v>-8.369</c:v>
                </c:pt>
                <c:pt idx="1649">
                  <c:v>-7.841</c:v>
                </c:pt>
                <c:pt idx="1650">
                  <c:v>-7.447</c:v>
                </c:pt>
                <c:pt idx="1651">
                  <c:v>-7.016</c:v>
                </c:pt>
                <c:pt idx="1652">
                  <c:v>-6.552</c:v>
                </c:pt>
                <c:pt idx="1653">
                  <c:v>-6.058</c:v>
                </c:pt>
                <c:pt idx="1654">
                  <c:v>-5.536</c:v>
                </c:pt>
                <c:pt idx="1655">
                  <c:v>-4.988</c:v>
                </c:pt>
                <c:pt idx="1656">
                  <c:v>-4.417</c:v>
                </c:pt>
                <c:pt idx="1657">
                  <c:v>-3.825</c:v>
                </c:pt>
                <c:pt idx="1658">
                  <c:v>-3.214</c:v>
                </c:pt>
                <c:pt idx="1659">
                  <c:v>-2.274</c:v>
                </c:pt>
                <c:pt idx="1660">
                  <c:v>-1.631</c:v>
                </c:pt>
                <c:pt idx="1661">
                  <c:v>0,982</c:v>
                </c:pt>
                <c:pt idx="1662">
                  <c:v>0,328</c:v>
                </c:pt>
                <c:pt idx="1663">
                  <c:v>0,328</c:v>
                </c:pt>
                <c:pt idx="1664">
                  <c:v>0,982</c:v>
                </c:pt>
                <c:pt idx="1665">
                  <c:v>1.631</c:v>
                </c:pt>
                <c:pt idx="1666">
                  <c:v>2.270</c:v>
                </c:pt>
                <c:pt idx="1667">
                  <c:v>3.218</c:v>
                </c:pt>
                <c:pt idx="1668">
                  <c:v>3.825</c:v>
                </c:pt>
                <c:pt idx="1669">
                  <c:v>4.413</c:v>
                </c:pt>
                <c:pt idx="1670">
                  <c:v>5.265</c:v>
                </c:pt>
                <c:pt idx="1671">
                  <c:v>6.058</c:v>
                </c:pt>
                <c:pt idx="1672">
                  <c:v>6.788</c:v>
                </c:pt>
                <c:pt idx="1673">
                  <c:v>7.446</c:v>
                </c:pt>
                <c:pt idx="1674">
                  <c:v>8.027</c:v>
                </c:pt>
                <c:pt idx="1675">
                  <c:v>8.523</c:v>
                </c:pt>
                <c:pt idx="1676">
                  <c:v>8.930</c:v>
                </c:pt>
                <c:pt idx="1677">
                  <c:v>9.244</c:v>
                </c:pt>
                <c:pt idx="1678">
                  <c:v>9.461</c:v>
                </c:pt>
                <c:pt idx="1679">
                  <c:v>9.549</c:v>
                </c:pt>
                <c:pt idx="1680">
                  <c:v>9.594</c:v>
                </c:pt>
                <c:pt idx="1681">
                  <c:v>9.600</c:v>
                </c:pt>
                <c:pt idx="1682">
                  <c:v>8.906</c:v>
                </c:pt>
                <c:pt idx="1683">
                  <c:v>6.588</c:v>
                </c:pt>
                <c:pt idx="1684">
                  <c:v>-6.391</c:v>
                </c:pt>
                <c:pt idx="1685">
                  <c:v>3.522</c:v>
                </c:pt>
                <c:pt idx="1686">
                  <c:v>3.081</c:v>
                </c:pt>
                <c:pt idx="1687">
                  <c:v>2.602</c:v>
                </c:pt>
                <c:pt idx="1688">
                  <c:v>2.059</c:v>
                </c:pt>
                <c:pt idx="1689">
                  <c:v>1.733</c:v>
                </c:pt>
                <c:pt idx="1690">
                  <c:v>1.398</c:v>
                </c:pt>
                <c:pt idx="1691">
                  <c:v>0,761</c:v>
                </c:pt>
                <c:pt idx="1692">
                  <c:v>0,408</c:v>
                </c:pt>
                <c:pt idx="1693">
                  <c:v>0,015</c:v>
                </c:pt>
                <c:pt idx="1694">
                  <c:v>0,38</c:v>
                </c:pt>
                <c:pt idx="1695">
                  <c:v>0,776</c:v>
                </c:pt>
                <c:pt idx="1696">
                  <c:v>-1.171</c:v>
                </c:pt>
                <c:pt idx="1697">
                  <c:v>-1.545</c:v>
                </c:pt>
                <c:pt idx="1698">
                  <c:v>-2.243</c:v>
                </c:pt>
                <c:pt idx="1699">
                  <c:v>-2.511</c:v>
                </c:pt>
                <c:pt idx="1700">
                  <c:v>-2.889</c:v>
                </c:pt>
                <c:pt idx="1701">
                  <c:v>-3.246</c:v>
                </c:pt>
                <c:pt idx="1702">
                  <c:v>-3.592</c:v>
                </c:pt>
                <c:pt idx="1703">
                  <c:v>-3.923</c:v>
                </c:pt>
                <c:pt idx="1704">
                  <c:v>-4.239</c:v>
                </c:pt>
                <c:pt idx="1705">
                  <c:v>-4.537</c:v>
                </c:pt>
                <c:pt idx="1706">
                  <c:v>-4.817</c:v>
                </c:pt>
                <c:pt idx="1707">
                  <c:v>-5.077</c:v>
                </c:pt>
                <c:pt idx="1708">
                  <c:v>-5.295</c:v>
                </c:pt>
                <c:pt idx="1709">
                  <c:v>-5.640</c:v>
                </c:pt>
                <c:pt idx="1710">
                  <c:v>-5.938</c:v>
                </c:pt>
                <c:pt idx="1711">
                  <c:v>-6.041</c:v>
                </c:pt>
                <c:pt idx="1712">
                  <c:v>-6.163</c:v>
                </c:pt>
                <c:pt idx="1713">
                  <c:v>-6.257</c:v>
                </c:pt>
                <c:pt idx="1714">
                  <c:v>-6.324</c:v>
                </c:pt>
                <c:pt idx="1715">
                  <c:v>-6.378</c:v>
                </c:pt>
                <c:pt idx="1716">
                  <c:v>-6.380</c:v>
                </c:pt>
                <c:pt idx="1717">
                  <c:v>4.677</c:v>
                </c:pt>
                <c:pt idx="1718">
                  <c:v>4.677</c:v>
                </c:pt>
                <c:pt idx="1719">
                  <c:v>7.287</c:v>
                </c:pt>
                <c:pt idx="1720">
                  <c:v>-7.288</c:v>
                </c:pt>
                <c:pt idx="1721">
                  <c:v>-7.285</c:v>
                </c:pt>
                <c:pt idx="1722">
                  <c:v>-7.219</c:v>
                </c:pt>
                <c:pt idx="1723">
                  <c:v>-7.135</c:v>
                </c:pt>
                <c:pt idx="1724">
                  <c:v>-7.017</c:v>
                </c:pt>
                <c:pt idx="1725">
                  <c:v>-6.866</c:v>
                </c:pt>
                <c:pt idx="1726">
                  <c:v>-6.692</c:v>
                </c:pt>
                <c:pt idx="1727">
                  <c:v>-6.350</c:v>
                </c:pt>
                <c:pt idx="1728">
                  <c:v>-5.939</c:v>
                </c:pt>
                <c:pt idx="1729">
                  <c:v>-5.653</c:v>
                </c:pt>
                <c:pt idx="1730">
                  <c:v>-5.326</c:v>
                </c:pt>
                <c:pt idx="1731">
                  <c:v>-4.974</c:v>
                </c:pt>
                <c:pt idx="1732">
                  <c:v>-4.599</c:v>
                </c:pt>
                <c:pt idx="1733">
                  <c:v>-4.202</c:v>
                </c:pt>
                <c:pt idx="1734">
                  <c:v>-3.786</c:v>
                </c:pt>
                <c:pt idx="1735">
                  <c:v>-3.353</c:v>
                </c:pt>
                <c:pt idx="1736">
                  <c:v>-2.903</c:v>
                </c:pt>
                <c:pt idx="1737">
                  <c:v>-2.436</c:v>
                </c:pt>
                <c:pt idx="1738">
                  <c:v>-1.736</c:v>
                </c:pt>
                <c:pt idx="1739">
                  <c:v>-1.238</c:v>
                </c:pt>
                <c:pt idx="1740">
                  <c:v>0,745</c:v>
                </c:pt>
                <c:pt idx="1741">
                  <c:v>0,249</c:v>
                </c:pt>
                <c:pt idx="1742">
                  <c:v>0,249</c:v>
                </c:pt>
                <c:pt idx="1743">
                  <c:v>0,745</c:v>
                </c:pt>
                <c:pt idx="1744">
                  <c:v>1.238</c:v>
                </c:pt>
                <c:pt idx="1745">
                  <c:v>1.703</c:v>
                </c:pt>
                <c:pt idx="1746">
                  <c:v>2.462</c:v>
                </c:pt>
                <c:pt idx="1747">
                  <c:v>2.903</c:v>
                </c:pt>
                <c:pt idx="1748">
                  <c:v>3.332</c:v>
                </c:pt>
                <c:pt idx="1749">
                  <c:v>3.996</c:v>
                </c:pt>
                <c:pt idx="1750">
                  <c:v>4.598</c:v>
                </c:pt>
                <c:pt idx="1751">
                  <c:v>5.151</c:v>
                </c:pt>
                <c:pt idx="1752">
                  <c:v>5.651</c:v>
                </c:pt>
                <c:pt idx="1753">
                  <c:v>6.092</c:v>
                </c:pt>
                <c:pt idx="1754">
                  <c:v>6.468</c:v>
                </c:pt>
                <c:pt idx="1755">
                  <c:v>6.777</c:v>
                </c:pt>
                <c:pt idx="1756">
                  <c:v>7.015</c:v>
                </c:pt>
                <c:pt idx="1757">
                  <c:v>7.184</c:v>
                </c:pt>
                <c:pt idx="1758">
                  <c:v>7.249</c:v>
                </c:pt>
                <c:pt idx="1759">
                  <c:v>7.283</c:v>
                </c:pt>
                <c:pt idx="1760">
                  <c:v>7.287</c:v>
                </c:pt>
                <c:pt idx="1761">
                  <c:v>8.584</c:v>
                </c:pt>
                <c:pt idx="1762">
                  <c:v>-8.584</c:v>
                </c:pt>
                <c:pt idx="1763">
                  <c:v>-8.581</c:v>
                </c:pt>
                <c:pt idx="1764">
                  <c:v>-8.564</c:v>
                </c:pt>
                <c:pt idx="1765">
                  <c:v>-8.504</c:v>
                </c:pt>
                <c:pt idx="1766">
                  <c:v>-8.404</c:v>
                </c:pt>
                <c:pt idx="1767">
                  <c:v>-8.265</c:v>
                </c:pt>
                <c:pt idx="1768">
                  <c:v>-8.088</c:v>
                </c:pt>
                <c:pt idx="1769">
                  <c:v>-7.877</c:v>
                </c:pt>
                <c:pt idx="1770">
                  <c:v>-7.481</c:v>
                </c:pt>
                <c:pt idx="1771">
                  <c:v>-7.005</c:v>
                </c:pt>
                <c:pt idx="1772">
                  <c:v>-6.658</c:v>
                </c:pt>
                <c:pt idx="1773">
                  <c:v>-6.273</c:v>
                </c:pt>
                <c:pt idx="1774">
                  <c:v>-5.859</c:v>
                </c:pt>
                <c:pt idx="1775">
                  <c:v>-5.417</c:v>
                </c:pt>
                <c:pt idx="1776">
                  <c:v>-4.950</c:v>
                </c:pt>
                <c:pt idx="1777">
                  <c:v>-4.460</c:v>
                </c:pt>
                <c:pt idx="1778">
                  <c:v>-3.949</c:v>
                </c:pt>
                <c:pt idx="1779">
                  <c:v>-3.420</c:v>
                </c:pt>
                <c:pt idx="1780">
                  <c:v>-2.872</c:v>
                </c:pt>
                <c:pt idx="1781">
                  <c:v>-2.038</c:v>
                </c:pt>
                <c:pt idx="1782">
                  <c:v>-1.458</c:v>
                </c:pt>
                <c:pt idx="1783">
                  <c:v>0,878</c:v>
                </c:pt>
                <c:pt idx="1784">
                  <c:v>0,293</c:v>
                </c:pt>
                <c:pt idx="1785">
                  <c:v>0,293</c:v>
                </c:pt>
                <c:pt idx="1786">
                  <c:v>0,878</c:v>
                </c:pt>
                <c:pt idx="1787">
                  <c:v>1.458</c:v>
                </c:pt>
                <c:pt idx="1788">
                  <c:v>2.020</c:v>
                </c:pt>
                <c:pt idx="1789">
                  <c:v>2.886</c:v>
                </c:pt>
                <c:pt idx="1790">
                  <c:v>3.420</c:v>
                </c:pt>
                <c:pt idx="1791">
                  <c:v>3.938</c:v>
                </c:pt>
                <c:pt idx="1792">
                  <c:v>4.707</c:v>
                </c:pt>
                <c:pt idx="1793">
                  <c:v>5.416</c:v>
                </c:pt>
                <c:pt idx="1794">
                  <c:v>6.069</c:v>
                </c:pt>
                <c:pt idx="1795">
                  <c:v>6.658</c:v>
                </c:pt>
                <c:pt idx="1796">
                  <c:v>7.177</c:v>
                </c:pt>
                <c:pt idx="1797">
                  <c:v>7.620</c:v>
                </c:pt>
                <c:pt idx="1798">
                  <c:v>7.984</c:v>
                </c:pt>
                <c:pt idx="1799">
                  <c:v>8.264</c:v>
                </c:pt>
                <c:pt idx="1800">
                  <c:v>8.460</c:v>
                </c:pt>
                <c:pt idx="1801">
                  <c:v>8.539</c:v>
                </c:pt>
                <c:pt idx="1802">
                  <c:v>8.579</c:v>
                </c:pt>
                <c:pt idx="1803">
                  <c:v>8.584</c:v>
                </c:pt>
                <c:pt idx="1804">
                  <c:v>9.600</c:v>
                </c:pt>
                <c:pt idx="1805">
                  <c:v>-9.600</c:v>
                </c:pt>
                <c:pt idx="1806">
                  <c:v>-9.596</c:v>
                </c:pt>
                <c:pt idx="1807">
                  <c:v>-9.578</c:v>
                </c:pt>
                <c:pt idx="1808">
                  <c:v>-9.510</c:v>
                </c:pt>
                <c:pt idx="1809">
                  <c:v>-9.399</c:v>
                </c:pt>
                <c:pt idx="1810">
                  <c:v>-9.244</c:v>
                </c:pt>
                <c:pt idx="1811">
                  <c:v>-9.045</c:v>
                </c:pt>
                <c:pt idx="1812">
                  <c:v>-8.806</c:v>
                </c:pt>
                <c:pt idx="1813">
                  <c:v>-8.367</c:v>
                </c:pt>
                <c:pt idx="1814">
                  <c:v>-7.841</c:v>
                </c:pt>
                <c:pt idx="1815">
                  <c:v>-7.447</c:v>
                </c:pt>
                <c:pt idx="1816">
                  <c:v>-7.016</c:v>
                </c:pt>
                <c:pt idx="1817">
                  <c:v>-6.552</c:v>
                </c:pt>
                <c:pt idx="1818">
                  <c:v>-6.058</c:v>
                </c:pt>
                <c:pt idx="1819">
                  <c:v>-5.536</c:v>
                </c:pt>
                <c:pt idx="1820">
                  <c:v>-4.988</c:v>
                </c:pt>
                <c:pt idx="1821">
                  <c:v>-4.417</c:v>
                </c:pt>
                <c:pt idx="1822">
                  <c:v>-3.825</c:v>
                </c:pt>
                <c:pt idx="1823">
                  <c:v>-3.214</c:v>
                </c:pt>
                <c:pt idx="1824">
                  <c:v>-2.274</c:v>
                </c:pt>
                <c:pt idx="1825">
                  <c:v>-1.631</c:v>
                </c:pt>
                <c:pt idx="1826">
                  <c:v>0,982</c:v>
                </c:pt>
                <c:pt idx="1827">
                  <c:v>0,328</c:v>
                </c:pt>
                <c:pt idx="1828">
                  <c:v>0,328</c:v>
                </c:pt>
                <c:pt idx="1829">
                  <c:v>0,982</c:v>
                </c:pt>
                <c:pt idx="1830">
                  <c:v>1.631</c:v>
                </c:pt>
                <c:pt idx="1831">
                  <c:v>2.270</c:v>
                </c:pt>
                <c:pt idx="1832">
                  <c:v>3.218</c:v>
                </c:pt>
                <c:pt idx="1833">
                  <c:v>3.825</c:v>
                </c:pt>
                <c:pt idx="1834">
                  <c:v>4.413</c:v>
                </c:pt>
                <c:pt idx="1835">
                  <c:v>5.265</c:v>
                </c:pt>
                <c:pt idx="1836">
                  <c:v>6.058</c:v>
                </c:pt>
                <c:pt idx="1837">
                  <c:v>6.788</c:v>
                </c:pt>
                <c:pt idx="1838">
                  <c:v>7.446</c:v>
                </c:pt>
                <c:pt idx="1839">
                  <c:v>8.027</c:v>
                </c:pt>
                <c:pt idx="1840">
                  <c:v>8.523</c:v>
                </c:pt>
                <c:pt idx="1841">
                  <c:v>8.930</c:v>
                </c:pt>
                <c:pt idx="1842">
                  <c:v>9.243</c:v>
                </c:pt>
                <c:pt idx="1843">
                  <c:v>9.461</c:v>
                </c:pt>
                <c:pt idx="1844">
                  <c:v>9.549</c:v>
                </c:pt>
                <c:pt idx="1845">
                  <c:v>9.594</c:v>
                </c:pt>
                <c:pt idx="1846">
                  <c:v>9.600</c:v>
                </c:pt>
                <c:pt idx="1847">
                  <c:v>8.906</c:v>
                </c:pt>
                <c:pt idx="1848">
                  <c:v>6.588</c:v>
                </c:pt>
                <c:pt idx="1849">
                  <c:v>-6.391</c:v>
                </c:pt>
                <c:pt idx="1850">
                  <c:v>3.522</c:v>
                </c:pt>
                <c:pt idx="1851">
                  <c:v>3.081</c:v>
                </c:pt>
                <c:pt idx="1852">
                  <c:v>2.602</c:v>
                </c:pt>
                <c:pt idx="1853">
                  <c:v>2.059</c:v>
                </c:pt>
                <c:pt idx="1854">
                  <c:v>1.733</c:v>
                </c:pt>
                <c:pt idx="1855">
                  <c:v>1.398</c:v>
                </c:pt>
                <c:pt idx="1856">
                  <c:v>0,761</c:v>
                </c:pt>
                <c:pt idx="1857">
                  <c:v>0,408</c:v>
                </c:pt>
                <c:pt idx="1858">
                  <c:v>0,015</c:v>
                </c:pt>
                <c:pt idx="1859">
                  <c:v>0,38</c:v>
                </c:pt>
                <c:pt idx="1860">
                  <c:v>0,776</c:v>
                </c:pt>
                <c:pt idx="1861">
                  <c:v>-1.171</c:v>
                </c:pt>
                <c:pt idx="1862">
                  <c:v>-1.546</c:v>
                </c:pt>
                <c:pt idx="1863">
                  <c:v>-2.227</c:v>
                </c:pt>
                <c:pt idx="1864">
                  <c:v>-2.513</c:v>
                </c:pt>
                <c:pt idx="1865">
                  <c:v>-2.889</c:v>
                </c:pt>
                <c:pt idx="1866">
                  <c:v>-3.246</c:v>
                </c:pt>
                <c:pt idx="1867">
                  <c:v>-3.592</c:v>
                </c:pt>
                <c:pt idx="1868">
                  <c:v>-3.923</c:v>
                </c:pt>
                <c:pt idx="1869">
                  <c:v>-4.239</c:v>
                </c:pt>
                <c:pt idx="1870">
                  <c:v>-4.537</c:v>
                </c:pt>
                <c:pt idx="1871">
                  <c:v>-4.817</c:v>
                </c:pt>
                <c:pt idx="1872">
                  <c:v>-5.077</c:v>
                </c:pt>
                <c:pt idx="1873">
                  <c:v>-5.295</c:v>
                </c:pt>
                <c:pt idx="1874">
                  <c:v>-5.631</c:v>
                </c:pt>
                <c:pt idx="1875">
                  <c:v>-5.911</c:v>
                </c:pt>
                <c:pt idx="1876">
                  <c:v>-6.044</c:v>
                </c:pt>
                <c:pt idx="1877">
                  <c:v>-6.163</c:v>
                </c:pt>
                <c:pt idx="1878">
                  <c:v>-6.257</c:v>
                </c:pt>
                <c:pt idx="1879">
                  <c:v>-6.322</c:v>
                </c:pt>
                <c:pt idx="1880">
                  <c:v>-6.377</c:v>
                </c:pt>
                <c:pt idx="1881">
                  <c:v>-6.379</c:v>
                </c:pt>
                <c:pt idx="1882">
                  <c:v>4.677</c:v>
                </c:pt>
                <c:pt idx="1883">
                  <c:v>4.677</c:v>
                </c:pt>
                <c:pt idx="1884">
                  <c:v>7.287</c:v>
                </c:pt>
                <c:pt idx="1885">
                  <c:v>-7.288</c:v>
                </c:pt>
                <c:pt idx="1886">
                  <c:v>-7.285</c:v>
                </c:pt>
                <c:pt idx="1887">
                  <c:v>-7.219</c:v>
                </c:pt>
                <c:pt idx="1888">
                  <c:v>-7.135</c:v>
                </c:pt>
                <c:pt idx="1889">
                  <c:v>-7.017</c:v>
                </c:pt>
                <c:pt idx="1890">
                  <c:v>-6.866</c:v>
                </c:pt>
                <c:pt idx="1891">
                  <c:v>-6.692</c:v>
                </c:pt>
                <c:pt idx="1892">
                  <c:v>-6.350</c:v>
                </c:pt>
                <c:pt idx="1893">
                  <c:v>-5.939</c:v>
                </c:pt>
                <c:pt idx="1894">
                  <c:v>-5.653</c:v>
                </c:pt>
                <c:pt idx="1895">
                  <c:v>-5.326</c:v>
                </c:pt>
                <c:pt idx="1896">
                  <c:v>-4.974</c:v>
                </c:pt>
                <c:pt idx="1897">
                  <c:v>-4.599</c:v>
                </c:pt>
                <c:pt idx="1898">
                  <c:v>-4.202</c:v>
                </c:pt>
                <c:pt idx="1899">
                  <c:v>-3.786</c:v>
                </c:pt>
                <c:pt idx="1900">
                  <c:v>-3.353</c:v>
                </c:pt>
                <c:pt idx="1901">
                  <c:v>-2.903</c:v>
                </c:pt>
                <c:pt idx="1902">
                  <c:v>-2.440</c:v>
                </c:pt>
                <c:pt idx="1903">
                  <c:v>-1.988</c:v>
                </c:pt>
                <c:pt idx="1904">
                  <c:v>-1.215</c:v>
                </c:pt>
                <c:pt idx="1905">
                  <c:v>0,745</c:v>
                </c:pt>
                <c:pt idx="1906">
                  <c:v>0,249</c:v>
                </c:pt>
                <c:pt idx="1907">
                  <c:v>0,249</c:v>
                </c:pt>
                <c:pt idx="1908">
                  <c:v>0,745</c:v>
                </c:pt>
                <c:pt idx="1909">
                  <c:v>1.238</c:v>
                </c:pt>
                <c:pt idx="1910">
                  <c:v>1.703</c:v>
                </c:pt>
                <c:pt idx="1911">
                  <c:v>2.462</c:v>
                </c:pt>
                <c:pt idx="1912">
                  <c:v>2.903</c:v>
                </c:pt>
                <c:pt idx="1913">
                  <c:v>3.332</c:v>
                </c:pt>
                <c:pt idx="1914">
                  <c:v>3.996</c:v>
                </c:pt>
                <c:pt idx="1915">
                  <c:v>4.598</c:v>
                </c:pt>
                <c:pt idx="1916">
                  <c:v>5.151</c:v>
                </c:pt>
                <c:pt idx="1917">
                  <c:v>5.651</c:v>
                </c:pt>
                <c:pt idx="1918">
                  <c:v>6.092</c:v>
                </c:pt>
                <c:pt idx="1919">
                  <c:v>6.468</c:v>
                </c:pt>
                <c:pt idx="1920">
                  <c:v>6.777</c:v>
                </c:pt>
                <c:pt idx="1921">
                  <c:v>7.015</c:v>
                </c:pt>
                <c:pt idx="1922">
                  <c:v>7.184</c:v>
                </c:pt>
                <c:pt idx="1923">
                  <c:v>7.249</c:v>
                </c:pt>
                <c:pt idx="1924">
                  <c:v>7.283</c:v>
                </c:pt>
                <c:pt idx="1925">
                  <c:v>7.287</c:v>
                </c:pt>
                <c:pt idx="1926">
                  <c:v>8.584</c:v>
                </c:pt>
                <c:pt idx="1927">
                  <c:v>-8.584</c:v>
                </c:pt>
                <c:pt idx="1928">
                  <c:v>-8.580</c:v>
                </c:pt>
                <c:pt idx="1929">
                  <c:v>-8.564</c:v>
                </c:pt>
                <c:pt idx="1930">
                  <c:v>-8.504</c:v>
                </c:pt>
                <c:pt idx="1931">
                  <c:v>-8.404</c:v>
                </c:pt>
                <c:pt idx="1932">
                  <c:v>-8.265</c:v>
                </c:pt>
                <c:pt idx="1933">
                  <c:v>-8.088</c:v>
                </c:pt>
                <c:pt idx="1934">
                  <c:v>-7.877</c:v>
                </c:pt>
                <c:pt idx="1935">
                  <c:v>-7.481</c:v>
                </c:pt>
                <c:pt idx="1936">
                  <c:v>-7.005</c:v>
                </c:pt>
                <c:pt idx="1937">
                  <c:v>-6.658</c:v>
                </c:pt>
                <c:pt idx="1938">
                  <c:v>-6.273</c:v>
                </c:pt>
                <c:pt idx="1939">
                  <c:v>-5.859</c:v>
                </c:pt>
                <c:pt idx="1940">
                  <c:v>-5.417</c:v>
                </c:pt>
                <c:pt idx="1941">
                  <c:v>-4.950</c:v>
                </c:pt>
                <c:pt idx="1942">
                  <c:v>-4.460</c:v>
                </c:pt>
                <c:pt idx="1943">
                  <c:v>-3.949</c:v>
                </c:pt>
                <c:pt idx="1944">
                  <c:v>-3.420</c:v>
                </c:pt>
                <c:pt idx="1945">
                  <c:v>-2.874</c:v>
                </c:pt>
                <c:pt idx="1946">
                  <c:v>-2.327</c:v>
                </c:pt>
                <c:pt idx="1947">
                  <c:v>-1.446</c:v>
                </c:pt>
                <c:pt idx="1948">
                  <c:v>0,878</c:v>
                </c:pt>
                <c:pt idx="1949">
                  <c:v>0,293</c:v>
                </c:pt>
                <c:pt idx="1950">
                  <c:v>0,293</c:v>
                </c:pt>
                <c:pt idx="1951">
                  <c:v>0,878</c:v>
                </c:pt>
                <c:pt idx="1952">
                  <c:v>1.458</c:v>
                </c:pt>
                <c:pt idx="1953">
                  <c:v>2.020</c:v>
                </c:pt>
                <c:pt idx="1954">
                  <c:v>2.886</c:v>
                </c:pt>
                <c:pt idx="1955">
                  <c:v>3.420</c:v>
                </c:pt>
                <c:pt idx="1956">
                  <c:v>3.938</c:v>
                </c:pt>
                <c:pt idx="1957">
                  <c:v>4.707</c:v>
                </c:pt>
                <c:pt idx="1958">
                  <c:v>5.416</c:v>
                </c:pt>
                <c:pt idx="1959">
                  <c:v>6.069</c:v>
                </c:pt>
                <c:pt idx="1960">
                  <c:v>6.658</c:v>
                </c:pt>
                <c:pt idx="1961">
                  <c:v>7.177</c:v>
                </c:pt>
                <c:pt idx="1962">
                  <c:v>7.620</c:v>
                </c:pt>
                <c:pt idx="1963">
                  <c:v>7.984</c:v>
                </c:pt>
                <c:pt idx="1964">
                  <c:v>8.264</c:v>
                </c:pt>
                <c:pt idx="1965">
                  <c:v>8.460</c:v>
                </c:pt>
                <c:pt idx="1966">
                  <c:v>8.539</c:v>
                </c:pt>
                <c:pt idx="1967">
                  <c:v>8.579</c:v>
                </c:pt>
                <c:pt idx="1968">
                  <c:v>8.584</c:v>
                </c:pt>
                <c:pt idx="1969">
                  <c:v>9.600</c:v>
                </c:pt>
                <c:pt idx="1970">
                  <c:v>-9.600</c:v>
                </c:pt>
                <c:pt idx="1971">
                  <c:v>-9.596</c:v>
                </c:pt>
                <c:pt idx="1972">
                  <c:v>-9.578</c:v>
                </c:pt>
                <c:pt idx="1973">
                  <c:v>-9.510</c:v>
                </c:pt>
                <c:pt idx="1974">
                  <c:v>-9.399</c:v>
                </c:pt>
                <c:pt idx="1975">
                  <c:v>-9.244</c:v>
                </c:pt>
                <c:pt idx="1976">
                  <c:v>-9.045</c:v>
                </c:pt>
                <c:pt idx="1977">
                  <c:v>-8.806</c:v>
                </c:pt>
                <c:pt idx="1978">
                  <c:v>-8.367</c:v>
                </c:pt>
                <c:pt idx="1979">
                  <c:v>-7.841</c:v>
                </c:pt>
                <c:pt idx="1980">
                  <c:v>-7.447</c:v>
                </c:pt>
                <c:pt idx="1981">
                  <c:v>-7.016</c:v>
                </c:pt>
                <c:pt idx="1982">
                  <c:v>-6.552</c:v>
                </c:pt>
                <c:pt idx="1983">
                  <c:v>-6.058</c:v>
                </c:pt>
                <c:pt idx="1984">
                  <c:v>-5.536</c:v>
                </c:pt>
                <c:pt idx="1985">
                  <c:v>-4.988</c:v>
                </c:pt>
                <c:pt idx="1986">
                  <c:v>-4.417</c:v>
                </c:pt>
                <c:pt idx="1987">
                  <c:v>-3.825</c:v>
                </c:pt>
                <c:pt idx="1988">
                  <c:v>-3.215</c:v>
                </c:pt>
                <c:pt idx="1989">
                  <c:v>-2.593</c:v>
                </c:pt>
                <c:pt idx="1990">
                  <c:v>-1.628</c:v>
                </c:pt>
                <c:pt idx="1991">
                  <c:v>0,982</c:v>
                </c:pt>
                <c:pt idx="1992">
                  <c:v>0,328</c:v>
                </c:pt>
                <c:pt idx="1993">
                  <c:v>0,328</c:v>
                </c:pt>
                <c:pt idx="1994">
                  <c:v>0,982</c:v>
                </c:pt>
                <c:pt idx="1995">
                  <c:v>1.631</c:v>
                </c:pt>
                <c:pt idx="1996">
                  <c:v>2.270</c:v>
                </c:pt>
                <c:pt idx="1997">
                  <c:v>3.218</c:v>
                </c:pt>
                <c:pt idx="1998">
                  <c:v>3.825</c:v>
                </c:pt>
                <c:pt idx="1999">
                  <c:v>4.413</c:v>
                </c:pt>
                <c:pt idx="2000">
                  <c:v>5.265</c:v>
                </c:pt>
                <c:pt idx="2001">
                  <c:v>6.058</c:v>
                </c:pt>
                <c:pt idx="2002">
                  <c:v>6.788</c:v>
                </c:pt>
                <c:pt idx="2003">
                  <c:v>7.446</c:v>
                </c:pt>
                <c:pt idx="2004">
                  <c:v>8.027</c:v>
                </c:pt>
                <c:pt idx="2005">
                  <c:v>8.523</c:v>
                </c:pt>
                <c:pt idx="2006">
                  <c:v>8.930</c:v>
                </c:pt>
                <c:pt idx="2007">
                  <c:v>9.244</c:v>
                </c:pt>
                <c:pt idx="2008">
                  <c:v>9.461</c:v>
                </c:pt>
                <c:pt idx="2009">
                  <c:v>9.549</c:v>
                </c:pt>
                <c:pt idx="2010">
                  <c:v>9.594</c:v>
                </c:pt>
                <c:pt idx="2011">
                  <c:v>9.600</c:v>
                </c:pt>
                <c:pt idx="2012">
                  <c:v>8.906</c:v>
                </c:pt>
                <c:pt idx="2013">
                  <c:v>6.588</c:v>
                </c:pt>
                <c:pt idx="2014">
                  <c:v>-6.391</c:v>
                </c:pt>
                <c:pt idx="2015">
                  <c:v>3.522</c:v>
                </c:pt>
                <c:pt idx="2016">
                  <c:v>3.081</c:v>
                </c:pt>
                <c:pt idx="2017">
                  <c:v>2.602</c:v>
                </c:pt>
                <c:pt idx="2018">
                  <c:v>2.059</c:v>
                </c:pt>
                <c:pt idx="2019">
                  <c:v>1.733</c:v>
                </c:pt>
                <c:pt idx="2020">
                  <c:v>1.398</c:v>
                </c:pt>
                <c:pt idx="2021">
                  <c:v>0,761</c:v>
                </c:pt>
                <c:pt idx="2022">
                  <c:v>0,408</c:v>
                </c:pt>
                <c:pt idx="2023">
                  <c:v>0,015</c:v>
                </c:pt>
                <c:pt idx="2024">
                  <c:v>0,38</c:v>
                </c:pt>
                <c:pt idx="2025">
                  <c:v>0,776</c:v>
                </c:pt>
                <c:pt idx="2026">
                  <c:v>-1.171</c:v>
                </c:pt>
                <c:pt idx="2027">
                  <c:v>-1.528</c:v>
                </c:pt>
                <c:pt idx="2028">
                  <c:v>-2.177</c:v>
                </c:pt>
                <c:pt idx="2029">
                  <c:v>-2.520</c:v>
                </c:pt>
                <c:pt idx="2030">
                  <c:v>-2.889</c:v>
                </c:pt>
                <c:pt idx="2031">
                  <c:v>-3.246</c:v>
                </c:pt>
                <c:pt idx="2032">
                  <c:v>-3.592</c:v>
                </c:pt>
                <c:pt idx="2033">
                  <c:v>-3.923</c:v>
                </c:pt>
                <c:pt idx="2034">
                  <c:v>-4.239</c:v>
                </c:pt>
                <c:pt idx="2035">
                  <c:v>-4.537</c:v>
                </c:pt>
                <c:pt idx="2036">
                  <c:v>-4.817</c:v>
                </c:pt>
                <c:pt idx="2037">
                  <c:v>-5.077</c:v>
                </c:pt>
                <c:pt idx="2038">
                  <c:v>-5.295</c:v>
                </c:pt>
                <c:pt idx="2039">
                  <c:v>-5.631</c:v>
                </c:pt>
                <c:pt idx="2040">
                  <c:v>-5.911</c:v>
                </c:pt>
                <c:pt idx="2041">
                  <c:v>-6.044</c:v>
                </c:pt>
                <c:pt idx="2042">
                  <c:v>-6.163</c:v>
                </c:pt>
                <c:pt idx="2043">
                  <c:v>-6.257</c:v>
                </c:pt>
                <c:pt idx="2044">
                  <c:v>-6.322</c:v>
                </c:pt>
                <c:pt idx="2045">
                  <c:v>-6.377</c:v>
                </c:pt>
                <c:pt idx="2046">
                  <c:v>-6.379</c:v>
                </c:pt>
                <c:pt idx="2047">
                  <c:v>4.677</c:v>
                </c:pt>
                <c:pt idx="2048">
                  <c:v>4.677</c:v>
                </c:pt>
                <c:pt idx="2049">
                  <c:v>7.287</c:v>
                </c:pt>
                <c:pt idx="2050">
                  <c:v>-7.288</c:v>
                </c:pt>
                <c:pt idx="2051">
                  <c:v>-7.284</c:v>
                </c:pt>
                <c:pt idx="2052">
                  <c:v>-7.219</c:v>
                </c:pt>
                <c:pt idx="2053">
                  <c:v>-7.135</c:v>
                </c:pt>
                <c:pt idx="2054">
                  <c:v>-7.017</c:v>
                </c:pt>
                <c:pt idx="2055">
                  <c:v>-6.866</c:v>
                </c:pt>
                <c:pt idx="2056">
                  <c:v>-6.692</c:v>
                </c:pt>
                <c:pt idx="2057">
                  <c:v>-6.350</c:v>
                </c:pt>
                <c:pt idx="2058">
                  <c:v>-5.939</c:v>
                </c:pt>
                <c:pt idx="2059">
                  <c:v>-5.653</c:v>
                </c:pt>
                <c:pt idx="2060">
                  <c:v>-5.326</c:v>
                </c:pt>
                <c:pt idx="2061">
                  <c:v>-4.974</c:v>
                </c:pt>
                <c:pt idx="2062">
                  <c:v>-4.599</c:v>
                </c:pt>
                <c:pt idx="2063">
                  <c:v>-4.202</c:v>
                </c:pt>
                <c:pt idx="2064">
                  <c:v>-3.786</c:v>
                </c:pt>
                <c:pt idx="2065">
                  <c:v>-3.350</c:v>
                </c:pt>
                <c:pt idx="2066">
                  <c:v>-2.946</c:v>
                </c:pt>
                <c:pt idx="2067">
                  <c:v>-2.204</c:v>
                </c:pt>
                <c:pt idx="2068">
                  <c:v>-1.725</c:v>
                </c:pt>
                <c:pt idx="2069">
                  <c:v>-1.238</c:v>
                </c:pt>
                <c:pt idx="2070">
                  <c:v>0,745</c:v>
                </c:pt>
                <c:pt idx="2071">
                  <c:v>0,249</c:v>
                </c:pt>
                <c:pt idx="2072">
                  <c:v>0,249</c:v>
                </c:pt>
                <c:pt idx="2073">
                  <c:v>0,745</c:v>
                </c:pt>
                <c:pt idx="2074">
                  <c:v>1.239</c:v>
                </c:pt>
                <c:pt idx="2075">
                  <c:v>1.946</c:v>
                </c:pt>
                <c:pt idx="2076">
                  <c:v>2.440</c:v>
                </c:pt>
                <c:pt idx="2077">
                  <c:v>2.903</c:v>
                </c:pt>
                <c:pt idx="2078">
                  <c:v>3.332</c:v>
                </c:pt>
                <c:pt idx="2079">
                  <c:v>3.996</c:v>
                </c:pt>
                <c:pt idx="2080">
                  <c:v>4.598</c:v>
                </c:pt>
                <c:pt idx="2081">
                  <c:v>5.151</c:v>
                </c:pt>
                <c:pt idx="2082">
                  <c:v>5.651</c:v>
                </c:pt>
                <c:pt idx="2083">
                  <c:v>6.092</c:v>
                </c:pt>
                <c:pt idx="2084">
                  <c:v>6.468</c:v>
                </c:pt>
                <c:pt idx="2085">
                  <c:v>6.777</c:v>
                </c:pt>
                <c:pt idx="2086">
                  <c:v>7.022</c:v>
                </c:pt>
                <c:pt idx="2087">
                  <c:v>7.135</c:v>
                </c:pt>
                <c:pt idx="2088">
                  <c:v>7.215</c:v>
                </c:pt>
                <c:pt idx="2089">
                  <c:v>7.283</c:v>
                </c:pt>
                <c:pt idx="2090">
                  <c:v>7.287</c:v>
                </c:pt>
                <c:pt idx="2091">
                  <c:v>8.584</c:v>
                </c:pt>
                <c:pt idx="2092">
                  <c:v>-8.584</c:v>
                </c:pt>
                <c:pt idx="2093">
                  <c:v>-8.580</c:v>
                </c:pt>
                <c:pt idx="2094">
                  <c:v>-8.564</c:v>
                </c:pt>
                <c:pt idx="2095">
                  <c:v>-8.504</c:v>
                </c:pt>
                <c:pt idx="2096">
                  <c:v>-8.404</c:v>
                </c:pt>
                <c:pt idx="2097">
                  <c:v>-8.265</c:v>
                </c:pt>
                <c:pt idx="2098">
                  <c:v>-8.088</c:v>
                </c:pt>
                <c:pt idx="2099">
                  <c:v>-7.877</c:v>
                </c:pt>
                <c:pt idx="2100">
                  <c:v>-7.481</c:v>
                </c:pt>
                <c:pt idx="2101">
                  <c:v>-7.005</c:v>
                </c:pt>
                <c:pt idx="2102">
                  <c:v>-6.658</c:v>
                </c:pt>
                <c:pt idx="2103">
                  <c:v>-6.273</c:v>
                </c:pt>
                <c:pt idx="2104">
                  <c:v>-5.859</c:v>
                </c:pt>
                <c:pt idx="2105">
                  <c:v>-5.417</c:v>
                </c:pt>
                <c:pt idx="2106">
                  <c:v>-4.950</c:v>
                </c:pt>
                <c:pt idx="2107">
                  <c:v>-4.460</c:v>
                </c:pt>
                <c:pt idx="2108">
                  <c:v>-3.948</c:v>
                </c:pt>
                <c:pt idx="2109">
                  <c:v>-3.478</c:v>
                </c:pt>
                <c:pt idx="2110">
                  <c:v>-3.156</c:v>
                </c:pt>
                <c:pt idx="2111">
                  <c:v>-2.597</c:v>
                </c:pt>
                <c:pt idx="2112">
                  <c:v>-2.032</c:v>
                </c:pt>
                <c:pt idx="2113">
                  <c:v>-1.458</c:v>
                </c:pt>
                <c:pt idx="2114">
                  <c:v>0,878</c:v>
                </c:pt>
                <c:pt idx="2115">
                  <c:v>0,293</c:v>
                </c:pt>
                <c:pt idx="2116">
                  <c:v>0,293</c:v>
                </c:pt>
                <c:pt idx="2117">
                  <c:v>0,878</c:v>
                </c:pt>
                <c:pt idx="2118">
                  <c:v>1.459</c:v>
                </c:pt>
                <c:pt idx="2119">
                  <c:v>2.306</c:v>
                </c:pt>
                <c:pt idx="2120">
                  <c:v>2.874</c:v>
                </c:pt>
                <c:pt idx="2121">
                  <c:v>3.420</c:v>
                </c:pt>
                <c:pt idx="2122">
                  <c:v>3.938</c:v>
                </c:pt>
                <c:pt idx="2123">
                  <c:v>4.707</c:v>
                </c:pt>
                <c:pt idx="2124">
                  <c:v>5.416</c:v>
                </c:pt>
                <c:pt idx="2125">
                  <c:v>6.069</c:v>
                </c:pt>
                <c:pt idx="2126">
                  <c:v>6.658</c:v>
                </c:pt>
                <c:pt idx="2127">
                  <c:v>7.177</c:v>
                </c:pt>
                <c:pt idx="2128">
                  <c:v>7.620</c:v>
                </c:pt>
                <c:pt idx="2129">
                  <c:v>7.984</c:v>
                </c:pt>
                <c:pt idx="2130">
                  <c:v>8.268</c:v>
                </c:pt>
                <c:pt idx="2131">
                  <c:v>8.404</c:v>
                </c:pt>
                <c:pt idx="2132">
                  <c:v>8.502</c:v>
                </c:pt>
                <c:pt idx="2133">
                  <c:v>8.579</c:v>
                </c:pt>
                <c:pt idx="2134">
                  <c:v>8.584</c:v>
                </c:pt>
                <c:pt idx="2135">
                  <c:v>9.600</c:v>
                </c:pt>
                <c:pt idx="2136">
                  <c:v>-9.600</c:v>
                </c:pt>
                <c:pt idx="2137">
                  <c:v>-9.596</c:v>
                </c:pt>
                <c:pt idx="2138">
                  <c:v>-9.578</c:v>
                </c:pt>
                <c:pt idx="2139">
                  <c:v>-9.510</c:v>
                </c:pt>
                <c:pt idx="2140">
                  <c:v>-9.399</c:v>
                </c:pt>
                <c:pt idx="2141">
                  <c:v>-9.244</c:v>
                </c:pt>
                <c:pt idx="2142">
                  <c:v>-9.045</c:v>
                </c:pt>
                <c:pt idx="2143">
                  <c:v>-8.806</c:v>
                </c:pt>
                <c:pt idx="2144">
                  <c:v>-8.367</c:v>
                </c:pt>
                <c:pt idx="2145">
                  <c:v>-7.841</c:v>
                </c:pt>
                <c:pt idx="2146">
                  <c:v>-7.447</c:v>
                </c:pt>
                <c:pt idx="2147">
                  <c:v>-7.016</c:v>
                </c:pt>
                <c:pt idx="2148">
                  <c:v>-6.552</c:v>
                </c:pt>
                <c:pt idx="2149">
                  <c:v>-6.058</c:v>
                </c:pt>
                <c:pt idx="2150">
                  <c:v>-5.536</c:v>
                </c:pt>
                <c:pt idx="2151">
                  <c:v>-4.988</c:v>
                </c:pt>
                <c:pt idx="2152">
                  <c:v>-4.416</c:v>
                </c:pt>
                <c:pt idx="2153">
                  <c:v>-3.894</c:v>
                </c:pt>
                <c:pt idx="2154">
                  <c:v>-3.524</c:v>
                </c:pt>
                <c:pt idx="2155">
                  <c:v>-2.904</c:v>
                </c:pt>
                <c:pt idx="2156">
                  <c:v>-2.273</c:v>
                </c:pt>
                <c:pt idx="2157">
                  <c:v>-1.631</c:v>
                </c:pt>
                <c:pt idx="2158">
                  <c:v>0,982</c:v>
                </c:pt>
                <c:pt idx="2159">
                  <c:v>0,328</c:v>
                </c:pt>
                <c:pt idx="2160">
                  <c:v>0,328</c:v>
                </c:pt>
                <c:pt idx="2161">
                  <c:v>0,982</c:v>
                </c:pt>
                <c:pt idx="2162">
                  <c:v>1.631</c:v>
                </c:pt>
                <c:pt idx="2163">
                  <c:v>2.587</c:v>
                </c:pt>
                <c:pt idx="2164">
                  <c:v>3.215</c:v>
                </c:pt>
                <c:pt idx="2165">
                  <c:v>3.825</c:v>
                </c:pt>
                <c:pt idx="2166">
                  <c:v>4.413</c:v>
                </c:pt>
                <c:pt idx="2167">
                  <c:v>5.265</c:v>
                </c:pt>
                <c:pt idx="2168">
                  <c:v>6.058</c:v>
                </c:pt>
                <c:pt idx="2169">
                  <c:v>6.788</c:v>
                </c:pt>
                <c:pt idx="2170">
                  <c:v>7.446</c:v>
                </c:pt>
                <c:pt idx="2171">
                  <c:v>8.027</c:v>
                </c:pt>
                <c:pt idx="2172">
                  <c:v>8.523</c:v>
                </c:pt>
                <c:pt idx="2173">
                  <c:v>8.930</c:v>
                </c:pt>
                <c:pt idx="2174">
                  <c:v>9.245</c:v>
                </c:pt>
                <c:pt idx="2175">
                  <c:v>9.399</c:v>
                </c:pt>
                <c:pt idx="2176">
                  <c:v>9.510</c:v>
                </c:pt>
                <c:pt idx="2177">
                  <c:v>9.594</c:v>
                </c:pt>
                <c:pt idx="2178">
                  <c:v>9.600</c:v>
                </c:pt>
                <c:pt idx="2179">
                  <c:v>8.906</c:v>
                </c:pt>
                <c:pt idx="2180">
                  <c:v>6.588</c:v>
                </c:pt>
                <c:pt idx="2181">
                  <c:v>-6.391</c:v>
                </c:pt>
                <c:pt idx="2182">
                  <c:v>3.522</c:v>
                </c:pt>
                <c:pt idx="2183">
                  <c:v>3.081</c:v>
                </c:pt>
                <c:pt idx="2184">
                  <c:v>2.602</c:v>
                </c:pt>
                <c:pt idx="2185">
                  <c:v>2.059</c:v>
                </c:pt>
                <c:pt idx="2186">
                  <c:v>1.733</c:v>
                </c:pt>
                <c:pt idx="2187">
                  <c:v>1.376</c:v>
                </c:pt>
                <c:pt idx="2188">
                  <c:v>0,789</c:v>
                </c:pt>
                <c:pt idx="2189">
                  <c:v>0,409</c:v>
                </c:pt>
                <c:pt idx="2190">
                  <c:v>0,015</c:v>
                </c:pt>
                <c:pt idx="2191">
                  <c:v>0,38</c:v>
                </c:pt>
                <c:pt idx="2192">
                  <c:v>0,776</c:v>
                </c:pt>
                <c:pt idx="2193">
                  <c:v>-1.171</c:v>
                </c:pt>
                <c:pt idx="2194">
                  <c:v>-1.563</c:v>
                </c:pt>
                <c:pt idx="2195">
                  <c:v>-1.951</c:v>
                </c:pt>
                <c:pt idx="2196">
                  <c:v>-2.318</c:v>
                </c:pt>
                <c:pt idx="2197">
                  <c:v>-2.939</c:v>
                </c:pt>
                <c:pt idx="2198">
                  <c:v>-3.592</c:v>
                </c:pt>
                <c:pt idx="2199">
                  <c:v>-3.923</c:v>
                </c:pt>
                <c:pt idx="2200">
                  <c:v>-4.239</c:v>
                </c:pt>
                <c:pt idx="2201">
                  <c:v>-4.537</c:v>
                </c:pt>
                <c:pt idx="2202">
                  <c:v>-4.817</c:v>
                </c:pt>
                <c:pt idx="2203">
                  <c:v>-5.077</c:v>
                </c:pt>
                <c:pt idx="2204">
                  <c:v>-5.295</c:v>
                </c:pt>
                <c:pt idx="2205">
                  <c:v>-5.631</c:v>
                </c:pt>
                <c:pt idx="2206">
                  <c:v>-5.911</c:v>
                </c:pt>
                <c:pt idx="2207">
                  <c:v>-6.044</c:v>
                </c:pt>
                <c:pt idx="2208">
                  <c:v>-6.163</c:v>
                </c:pt>
                <c:pt idx="2209">
                  <c:v>-6.257</c:v>
                </c:pt>
                <c:pt idx="2210">
                  <c:v>-6.322</c:v>
                </c:pt>
                <c:pt idx="2211">
                  <c:v>-6.377</c:v>
                </c:pt>
                <c:pt idx="2212">
                  <c:v>-6.379</c:v>
                </c:pt>
                <c:pt idx="2213">
                  <c:v>4.677</c:v>
                </c:pt>
                <c:pt idx="2214">
                  <c:v>4.677</c:v>
                </c:pt>
                <c:pt idx="2215">
                  <c:v>7.287</c:v>
                </c:pt>
                <c:pt idx="2216">
                  <c:v>-7.288</c:v>
                </c:pt>
                <c:pt idx="2217">
                  <c:v>-7.284</c:v>
                </c:pt>
                <c:pt idx="2218">
                  <c:v>-7.219</c:v>
                </c:pt>
                <c:pt idx="2219">
                  <c:v>-7.135</c:v>
                </c:pt>
                <c:pt idx="2220">
                  <c:v>-7.017</c:v>
                </c:pt>
                <c:pt idx="2221">
                  <c:v>-6.866</c:v>
                </c:pt>
                <c:pt idx="2222">
                  <c:v>-6.588</c:v>
                </c:pt>
                <c:pt idx="2223">
                  <c:v>-6.363</c:v>
                </c:pt>
                <c:pt idx="2224">
                  <c:v>-5.939</c:v>
                </c:pt>
                <c:pt idx="2225">
                  <c:v>-5.653</c:v>
                </c:pt>
                <c:pt idx="2226">
                  <c:v>-5.326</c:v>
                </c:pt>
                <c:pt idx="2227">
                  <c:v>-4.974</c:v>
                </c:pt>
                <c:pt idx="2228">
                  <c:v>-4.599</c:v>
                </c:pt>
                <c:pt idx="2229">
                  <c:v>-4.202</c:v>
                </c:pt>
                <c:pt idx="2230">
                  <c:v>-3.786</c:v>
                </c:pt>
                <c:pt idx="2231">
                  <c:v>-3.353</c:v>
                </c:pt>
                <c:pt idx="2232">
                  <c:v>-2.903</c:v>
                </c:pt>
                <c:pt idx="2233">
                  <c:v>-2.438</c:v>
                </c:pt>
                <c:pt idx="2234">
                  <c:v>-1.741</c:v>
                </c:pt>
                <c:pt idx="2235">
                  <c:v>-1.238</c:v>
                </c:pt>
                <c:pt idx="2236">
                  <c:v>0,745</c:v>
                </c:pt>
                <c:pt idx="2237">
                  <c:v>0,249</c:v>
                </c:pt>
                <c:pt idx="2238">
                  <c:v>0,249</c:v>
                </c:pt>
                <c:pt idx="2239">
                  <c:v>0,745</c:v>
                </c:pt>
                <c:pt idx="2240">
                  <c:v>1.238</c:v>
                </c:pt>
                <c:pt idx="2241">
                  <c:v>1.703</c:v>
                </c:pt>
                <c:pt idx="2242">
                  <c:v>2.462</c:v>
                </c:pt>
                <c:pt idx="2243">
                  <c:v>2.903</c:v>
                </c:pt>
                <c:pt idx="2244">
                  <c:v>3.332</c:v>
                </c:pt>
                <c:pt idx="2245">
                  <c:v>3.996</c:v>
                </c:pt>
                <c:pt idx="2246">
                  <c:v>4.598</c:v>
                </c:pt>
                <c:pt idx="2247">
                  <c:v>5.151</c:v>
                </c:pt>
                <c:pt idx="2248">
                  <c:v>5.651</c:v>
                </c:pt>
                <c:pt idx="2249">
                  <c:v>6.092</c:v>
                </c:pt>
                <c:pt idx="2250">
                  <c:v>6.468</c:v>
                </c:pt>
                <c:pt idx="2251">
                  <c:v>6.777</c:v>
                </c:pt>
                <c:pt idx="2252">
                  <c:v>7.015</c:v>
                </c:pt>
                <c:pt idx="2253">
                  <c:v>7.184</c:v>
                </c:pt>
                <c:pt idx="2254">
                  <c:v>7.249</c:v>
                </c:pt>
                <c:pt idx="2255">
                  <c:v>7.283</c:v>
                </c:pt>
                <c:pt idx="2256">
                  <c:v>7.287</c:v>
                </c:pt>
                <c:pt idx="2257">
                  <c:v>8.584</c:v>
                </c:pt>
                <c:pt idx="2258">
                  <c:v>-8.584</c:v>
                </c:pt>
                <c:pt idx="2259">
                  <c:v>-8.580</c:v>
                </c:pt>
                <c:pt idx="2260">
                  <c:v>-8.504</c:v>
                </c:pt>
                <c:pt idx="2261">
                  <c:v>-8.404</c:v>
                </c:pt>
                <c:pt idx="2262">
                  <c:v>-8.265</c:v>
                </c:pt>
                <c:pt idx="2263">
                  <c:v>-8.088</c:v>
                </c:pt>
                <c:pt idx="2264">
                  <c:v>-7.755</c:v>
                </c:pt>
                <c:pt idx="2265">
                  <c:v>-7.488</c:v>
                </c:pt>
                <c:pt idx="2266">
                  <c:v>-7.005</c:v>
                </c:pt>
                <c:pt idx="2267">
                  <c:v>-6.658</c:v>
                </c:pt>
                <c:pt idx="2268">
                  <c:v>-6.273</c:v>
                </c:pt>
                <c:pt idx="2269">
                  <c:v>-5.859</c:v>
                </c:pt>
                <c:pt idx="2270">
                  <c:v>-5.417</c:v>
                </c:pt>
                <c:pt idx="2271">
                  <c:v>-4.950</c:v>
                </c:pt>
                <c:pt idx="2272">
                  <c:v>-4.460</c:v>
                </c:pt>
                <c:pt idx="2273">
                  <c:v>-3.949</c:v>
                </c:pt>
                <c:pt idx="2274">
                  <c:v>-3.420</c:v>
                </c:pt>
                <c:pt idx="2275">
                  <c:v>-2.873</c:v>
                </c:pt>
                <c:pt idx="2276">
                  <c:v>-2.041</c:v>
                </c:pt>
                <c:pt idx="2277">
                  <c:v>-1.458</c:v>
                </c:pt>
                <c:pt idx="2278">
                  <c:v>0,878</c:v>
                </c:pt>
                <c:pt idx="2279">
                  <c:v>0,293</c:v>
                </c:pt>
                <c:pt idx="2280">
                  <c:v>0,293</c:v>
                </c:pt>
                <c:pt idx="2281">
                  <c:v>0,878</c:v>
                </c:pt>
                <c:pt idx="2282">
                  <c:v>1.458</c:v>
                </c:pt>
                <c:pt idx="2283">
                  <c:v>2.020</c:v>
                </c:pt>
                <c:pt idx="2284">
                  <c:v>2.886</c:v>
                </c:pt>
                <c:pt idx="2285">
                  <c:v>3.420</c:v>
                </c:pt>
                <c:pt idx="2286">
                  <c:v>3.938</c:v>
                </c:pt>
                <c:pt idx="2287">
                  <c:v>4.707</c:v>
                </c:pt>
                <c:pt idx="2288">
                  <c:v>5.416</c:v>
                </c:pt>
                <c:pt idx="2289">
                  <c:v>6.069</c:v>
                </c:pt>
                <c:pt idx="2290">
                  <c:v>6.658</c:v>
                </c:pt>
                <c:pt idx="2291">
                  <c:v>7.177</c:v>
                </c:pt>
                <c:pt idx="2292">
                  <c:v>7.620</c:v>
                </c:pt>
                <c:pt idx="2293">
                  <c:v>7.984</c:v>
                </c:pt>
                <c:pt idx="2294">
                  <c:v>8.264</c:v>
                </c:pt>
                <c:pt idx="2295">
                  <c:v>8.460</c:v>
                </c:pt>
                <c:pt idx="2296">
                  <c:v>8.539</c:v>
                </c:pt>
                <c:pt idx="2297">
                  <c:v>8.579</c:v>
                </c:pt>
                <c:pt idx="2298">
                  <c:v>8.584</c:v>
                </c:pt>
                <c:pt idx="2299">
                  <c:v>9.600</c:v>
                </c:pt>
                <c:pt idx="2300">
                  <c:v>-9.600</c:v>
                </c:pt>
                <c:pt idx="2301">
                  <c:v>-9.595</c:v>
                </c:pt>
                <c:pt idx="2302">
                  <c:v>-9.578</c:v>
                </c:pt>
                <c:pt idx="2303">
                  <c:v>-9.510</c:v>
                </c:pt>
                <c:pt idx="2304">
                  <c:v>-9.399</c:v>
                </c:pt>
                <c:pt idx="2305">
                  <c:v>-9.244</c:v>
                </c:pt>
                <c:pt idx="2306">
                  <c:v>-9.045</c:v>
                </c:pt>
                <c:pt idx="2307">
                  <c:v>-8.670</c:v>
                </c:pt>
                <c:pt idx="2308">
                  <c:v>-8.369</c:v>
                </c:pt>
                <c:pt idx="2309">
                  <c:v>-7.841</c:v>
                </c:pt>
                <c:pt idx="2310">
                  <c:v>-7.447</c:v>
                </c:pt>
                <c:pt idx="2311">
                  <c:v>-7.016</c:v>
                </c:pt>
                <c:pt idx="2312">
                  <c:v>-6.552</c:v>
                </c:pt>
                <c:pt idx="2313">
                  <c:v>-6.058</c:v>
                </c:pt>
                <c:pt idx="2314">
                  <c:v>-5.536</c:v>
                </c:pt>
                <c:pt idx="2315">
                  <c:v>-4.988</c:v>
                </c:pt>
                <c:pt idx="2316">
                  <c:v>-4.417</c:v>
                </c:pt>
                <c:pt idx="2317">
                  <c:v>-3.825</c:v>
                </c:pt>
                <c:pt idx="2318">
                  <c:v>-3.214</c:v>
                </c:pt>
                <c:pt idx="2319">
                  <c:v>-2.275</c:v>
                </c:pt>
                <c:pt idx="2320">
                  <c:v>-1.631</c:v>
                </c:pt>
                <c:pt idx="2321">
                  <c:v>0,982</c:v>
                </c:pt>
                <c:pt idx="2322">
                  <c:v>0,328</c:v>
                </c:pt>
                <c:pt idx="2323">
                  <c:v>0,328</c:v>
                </c:pt>
                <c:pt idx="2324">
                  <c:v>0,982</c:v>
                </c:pt>
                <c:pt idx="2325">
                  <c:v>1.631</c:v>
                </c:pt>
                <c:pt idx="2326">
                  <c:v>2.270</c:v>
                </c:pt>
                <c:pt idx="2327">
                  <c:v>3.218</c:v>
                </c:pt>
                <c:pt idx="2328">
                  <c:v>3.825</c:v>
                </c:pt>
                <c:pt idx="2329">
                  <c:v>4.413</c:v>
                </c:pt>
                <c:pt idx="2330">
                  <c:v>5.265</c:v>
                </c:pt>
                <c:pt idx="2331">
                  <c:v>6.058</c:v>
                </c:pt>
                <c:pt idx="2332">
                  <c:v>6.788</c:v>
                </c:pt>
                <c:pt idx="2333">
                  <c:v>7.446</c:v>
                </c:pt>
                <c:pt idx="2334">
                  <c:v>8.027</c:v>
                </c:pt>
                <c:pt idx="2335">
                  <c:v>8.523</c:v>
                </c:pt>
                <c:pt idx="2336">
                  <c:v>8.930</c:v>
                </c:pt>
                <c:pt idx="2337">
                  <c:v>9.243</c:v>
                </c:pt>
                <c:pt idx="2338">
                  <c:v>9.461</c:v>
                </c:pt>
                <c:pt idx="2339">
                  <c:v>9.549</c:v>
                </c:pt>
                <c:pt idx="2340">
                  <c:v>9.594</c:v>
                </c:pt>
                <c:pt idx="2341">
                  <c:v>9.600</c:v>
                </c:pt>
                <c:pt idx="2342">
                  <c:v>8.906</c:v>
                </c:pt>
                <c:pt idx="2343">
                  <c:v>6.588</c:v>
                </c:pt>
                <c:pt idx="2344">
                  <c:v>-6.391</c:v>
                </c:pt>
                <c:pt idx="2345">
                  <c:v>3.522</c:v>
                </c:pt>
                <c:pt idx="2346">
                  <c:v>3.081</c:v>
                </c:pt>
                <c:pt idx="2347">
                  <c:v>2.602</c:v>
                </c:pt>
                <c:pt idx="2348">
                  <c:v>2.059</c:v>
                </c:pt>
                <c:pt idx="2349">
                  <c:v>1.733</c:v>
                </c:pt>
                <c:pt idx="2350">
                  <c:v>1.398</c:v>
                </c:pt>
                <c:pt idx="2351">
                  <c:v>0,761</c:v>
                </c:pt>
                <c:pt idx="2352">
                  <c:v>0,408</c:v>
                </c:pt>
                <c:pt idx="2353">
                  <c:v>0,015</c:v>
                </c:pt>
                <c:pt idx="2354">
                  <c:v>0,38</c:v>
                </c:pt>
                <c:pt idx="2355">
                  <c:v>0,776</c:v>
                </c:pt>
                <c:pt idx="2356">
                  <c:v>-1.171</c:v>
                </c:pt>
                <c:pt idx="2357">
                  <c:v>-1.549</c:v>
                </c:pt>
                <c:pt idx="2358">
                  <c:v>-2.180</c:v>
                </c:pt>
                <c:pt idx="2359">
                  <c:v>-2.889</c:v>
                </c:pt>
                <c:pt idx="2360">
                  <c:v>-3.246</c:v>
                </c:pt>
                <c:pt idx="2361">
                  <c:v>-3.592</c:v>
                </c:pt>
                <c:pt idx="2362">
                  <c:v>-3.923</c:v>
                </c:pt>
                <c:pt idx="2363">
                  <c:v>-4.239</c:v>
                </c:pt>
                <c:pt idx="2364">
                  <c:v>-4.537</c:v>
                </c:pt>
                <c:pt idx="2365">
                  <c:v>-4.817</c:v>
                </c:pt>
                <c:pt idx="2366">
                  <c:v>-5.077</c:v>
                </c:pt>
                <c:pt idx="2367">
                  <c:v>-5.295</c:v>
                </c:pt>
                <c:pt idx="2368">
                  <c:v>-5.643</c:v>
                </c:pt>
                <c:pt idx="2369">
                  <c:v>-5.913</c:v>
                </c:pt>
                <c:pt idx="2370">
                  <c:v>-6.043</c:v>
                </c:pt>
                <c:pt idx="2371">
                  <c:v>-6.163</c:v>
                </c:pt>
                <c:pt idx="2372">
                  <c:v>-6.257</c:v>
                </c:pt>
                <c:pt idx="2373">
                  <c:v>-6.322</c:v>
                </c:pt>
                <c:pt idx="2374">
                  <c:v>-6.376</c:v>
                </c:pt>
                <c:pt idx="2375">
                  <c:v>-6.379</c:v>
                </c:pt>
                <c:pt idx="2376">
                  <c:v>4.677</c:v>
                </c:pt>
                <c:pt idx="2377">
                  <c:v>4.677</c:v>
                </c:pt>
                <c:pt idx="2378">
                  <c:v>7.287</c:v>
                </c:pt>
                <c:pt idx="2379">
                  <c:v>-7.287</c:v>
                </c:pt>
                <c:pt idx="2380">
                  <c:v>-7.284</c:v>
                </c:pt>
                <c:pt idx="2381">
                  <c:v>-7.219</c:v>
                </c:pt>
                <c:pt idx="2382">
                  <c:v>-7.135</c:v>
                </c:pt>
                <c:pt idx="2383">
                  <c:v>-7.017</c:v>
                </c:pt>
                <c:pt idx="2384">
                  <c:v>-6.866</c:v>
                </c:pt>
                <c:pt idx="2385">
                  <c:v>-6.589</c:v>
                </c:pt>
                <c:pt idx="2386">
                  <c:v>-6.352</c:v>
                </c:pt>
                <c:pt idx="2387">
                  <c:v>-6.093</c:v>
                </c:pt>
                <c:pt idx="2388">
                  <c:v>-5.806</c:v>
                </c:pt>
                <c:pt idx="2389">
                  <c:v>-5.492</c:v>
                </c:pt>
                <c:pt idx="2390">
                  <c:v>-5.161</c:v>
                </c:pt>
                <c:pt idx="2391">
                  <c:v>-4.599</c:v>
                </c:pt>
                <c:pt idx="2392">
                  <c:v>-4.202</c:v>
                </c:pt>
                <c:pt idx="2393">
                  <c:v>-3.786</c:v>
                </c:pt>
                <c:pt idx="2394">
                  <c:v>-3.353</c:v>
                </c:pt>
                <c:pt idx="2395">
                  <c:v>-2.903</c:v>
                </c:pt>
                <c:pt idx="2396">
                  <c:v>-2.440</c:v>
                </c:pt>
                <c:pt idx="2397">
                  <c:v>-1.988</c:v>
                </c:pt>
                <c:pt idx="2398">
                  <c:v>-1.215</c:v>
                </c:pt>
                <c:pt idx="2399">
                  <c:v>0,745</c:v>
                </c:pt>
                <c:pt idx="2400">
                  <c:v>0,249</c:v>
                </c:pt>
                <c:pt idx="2401">
                  <c:v>0,249</c:v>
                </c:pt>
                <c:pt idx="2402">
                  <c:v>0,745</c:v>
                </c:pt>
                <c:pt idx="2403">
                  <c:v>1.238</c:v>
                </c:pt>
                <c:pt idx="2404">
                  <c:v>1.703</c:v>
                </c:pt>
                <c:pt idx="2405">
                  <c:v>2.462</c:v>
                </c:pt>
                <c:pt idx="2406">
                  <c:v>2.903</c:v>
                </c:pt>
                <c:pt idx="2407">
                  <c:v>3.332</c:v>
                </c:pt>
                <c:pt idx="2408">
                  <c:v>3.996</c:v>
                </c:pt>
                <c:pt idx="2409">
                  <c:v>4.598</c:v>
                </c:pt>
                <c:pt idx="2410">
                  <c:v>5.151</c:v>
                </c:pt>
                <c:pt idx="2411">
                  <c:v>5.651</c:v>
                </c:pt>
                <c:pt idx="2412">
                  <c:v>6.092</c:v>
                </c:pt>
                <c:pt idx="2413">
                  <c:v>6.468</c:v>
                </c:pt>
                <c:pt idx="2414">
                  <c:v>6.777</c:v>
                </c:pt>
                <c:pt idx="2415">
                  <c:v>7.015</c:v>
                </c:pt>
                <c:pt idx="2416">
                  <c:v>7.184</c:v>
                </c:pt>
                <c:pt idx="2417">
                  <c:v>7.249</c:v>
                </c:pt>
                <c:pt idx="2418">
                  <c:v>7.283</c:v>
                </c:pt>
                <c:pt idx="2419">
                  <c:v>7.287</c:v>
                </c:pt>
                <c:pt idx="2420">
                  <c:v>8.584</c:v>
                </c:pt>
                <c:pt idx="2421">
                  <c:v>-8.584</c:v>
                </c:pt>
                <c:pt idx="2422">
                  <c:v>-8.579</c:v>
                </c:pt>
                <c:pt idx="2423">
                  <c:v>-8.504</c:v>
                </c:pt>
                <c:pt idx="2424">
                  <c:v>-8.404</c:v>
                </c:pt>
                <c:pt idx="2425">
                  <c:v>-8.265</c:v>
                </c:pt>
                <c:pt idx="2426">
                  <c:v>-8.088</c:v>
                </c:pt>
                <c:pt idx="2427">
                  <c:v>-7.756</c:v>
                </c:pt>
                <c:pt idx="2428">
                  <c:v>-7.482</c:v>
                </c:pt>
                <c:pt idx="2429">
                  <c:v>-7.177</c:v>
                </c:pt>
                <c:pt idx="2430">
                  <c:v>-6.839</c:v>
                </c:pt>
                <c:pt idx="2431">
                  <c:v>-6.469</c:v>
                </c:pt>
                <c:pt idx="2432">
                  <c:v>-6.087</c:v>
                </c:pt>
                <c:pt idx="2433">
                  <c:v>-5.417</c:v>
                </c:pt>
                <c:pt idx="2434">
                  <c:v>-4.950</c:v>
                </c:pt>
                <c:pt idx="2435">
                  <c:v>-4.460</c:v>
                </c:pt>
                <c:pt idx="2436">
                  <c:v>-3.949</c:v>
                </c:pt>
                <c:pt idx="2437">
                  <c:v>-3.420</c:v>
                </c:pt>
                <c:pt idx="2438">
                  <c:v>-2.874</c:v>
                </c:pt>
                <c:pt idx="2439">
                  <c:v>-2.327</c:v>
                </c:pt>
                <c:pt idx="2440">
                  <c:v>-1.446</c:v>
                </c:pt>
                <c:pt idx="2441">
                  <c:v>0,878</c:v>
                </c:pt>
                <c:pt idx="2442">
                  <c:v>0,293</c:v>
                </c:pt>
                <c:pt idx="2443">
                  <c:v>0,293</c:v>
                </c:pt>
                <c:pt idx="2444">
                  <c:v>0,878</c:v>
                </c:pt>
                <c:pt idx="2445">
                  <c:v>1.458</c:v>
                </c:pt>
                <c:pt idx="2446">
                  <c:v>2.020</c:v>
                </c:pt>
                <c:pt idx="2447">
                  <c:v>2.886</c:v>
                </c:pt>
                <c:pt idx="2448">
                  <c:v>3.420</c:v>
                </c:pt>
                <c:pt idx="2449">
                  <c:v>3.938</c:v>
                </c:pt>
                <c:pt idx="2450">
                  <c:v>4.707</c:v>
                </c:pt>
                <c:pt idx="2451">
                  <c:v>5.416</c:v>
                </c:pt>
                <c:pt idx="2452">
                  <c:v>6.069</c:v>
                </c:pt>
                <c:pt idx="2453">
                  <c:v>6.658</c:v>
                </c:pt>
                <c:pt idx="2454">
                  <c:v>7.177</c:v>
                </c:pt>
                <c:pt idx="2455">
                  <c:v>7.620</c:v>
                </c:pt>
                <c:pt idx="2456">
                  <c:v>7.984</c:v>
                </c:pt>
                <c:pt idx="2457">
                  <c:v>8.264</c:v>
                </c:pt>
                <c:pt idx="2458">
                  <c:v>8.460</c:v>
                </c:pt>
                <c:pt idx="2459">
                  <c:v>8.539</c:v>
                </c:pt>
                <c:pt idx="2460">
                  <c:v>8.579</c:v>
                </c:pt>
                <c:pt idx="2461">
                  <c:v>8.584</c:v>
                </c:pt>
                <c:pt idx="2462">
                  <c:v>9.600</c:v>
                </c:pt>
                <c:pt idx="2463">
                  <c:v>-9.600</c:v>
                </c:pt>
                <c:pt idx="2464">
                  <c:v>-9.595</c:v>
                </c:pt>
                <c:pt idx="2465">
                  <c:v>-9.578</c:v>
                </c:pt>
                <c:pt idx="2466">
                  <c:v>-9.510</c:v>
                </c:pt>
                <c:pt idx="2467">
                  <c:v>-9.399</c:v>
                </c:pt>
                <c:pt idx="2468">
                  <c:v>-9.244</c:v>
                </c:pt>
                <c:pt idx="2469">
                  <c:v>-9.045</c:v>
                </c:pt>
                <c:pt idx="2470">
                  <c:v>-8.671</c:v>
                </c:pt>
                <c:pt idx="2471">
                  <c:v>-8.368</c:v>
                </c:pt>
                <c:pt idx="2472">
                  <c:v>-8.027</c:v>
                </c:pt>
                <c:pt idx="2473">
                  <c:v>-7.649</c:v>
                </c:pt>
                <c:pt idx="2474">
                  <c:v>-7.235</c:v>
                </c:pt>
                <c:pt idx="2475">
                  <c:v>-6.814</c:v>
                </c:pt>
                <c:pt idx="2476">
                  <c:v>-6.554</c:v>
                </c:pt>
                <c:pt idx="2477">
                  <c:v>-6.058</c:v>
                </c:pt>
                <c:pt idx="2478">
                  <c:v>-5.536</c:v>
                </c:pt>
                <c:pt idx="2479">
                  <c:v>-4.988</c:v>
                </c:pt>
                <c:pt idx="2480">
                  <c:v>-4.417</c:v>
                </c:pt>
                <c:pt idx="2481">
                  <c:v>-3.825</c:v>
                </c:pt>
                <c:pt idx="2482">
                  <c:v>-3.215</c:v>
                </c:pt>
                <c:pt idx="2483">
                  <c:v>-2.593</c:v>
                </c:pt>
                <c:pt idx="2484">
                  <c:v>-1.628</c:v>
                </c:pt>
                <c:pt idx="2485">
                  <c:v>0,982</c:v>
                </c:pt>
                <c:pt idx="2486">
                  <c:v>0,328</c:v>
                </c:pt>
                <c:pt idx="2487">
                  <c:v>0,328</c:v>
                </c:pt>
                <c:pt idx="2488">
                  <c:v>0,982</c:v>
                </c:pt>
                <c:pt idx="2489">
                  <c:v>1.631</c:v>
                </c:pt>
                <c:pt idx="2490">
                  <c:v>2.270</c:v>
                </c:pt>
                <c:pt idx="2491">
                  <c:v>3.218</c:v>
                </c:pt>
                <c:pt idx="2492">
                  <c:v>3.825</c:v>
                </c:pt>
                <c:pt idx="2493">
                  <c:v>4.413</c:v>
                </c:pt>
                <c:pt idx="2494">
                  <c:v>5.265</c:v>
                </c:pt>
                <c:pt idx="2495">
                  <c:v>6.058</c:v>
                </c:pt>
                <c:pt idx="2496">
                  <c:v>6.788</c:v>
                </c:pt>
                <c:pt idx="2497">
                  <c:v>7.446</c:v>
                </c:pt>
                <c:pt idx="2498">
                  <c:v>8.027</c:v>
                </c:pt>
                <c:pt idx="2499">
                  <c:v>8.523</c:v>
                </c:pt>
                <c:pt idx="2500">
                  <c:v>8.930</c:v>
                </c:pt>
                <c:pt idx="2501">
                  <c:v>9.243</c:v>
                </c:pt>
                <c:pt idx="2502">
                  <c:v>9.461</c:v>
                </c:pt>
                <c:pt idx="2503">
                  <c:v>9.549</c:v>
                </c:pt>
                <c:pt idx="2504">
                  <c:v>9.594</c:v>
                </c:pt>
                <c:pt idx="2505">
                  <c:v>9.600</c:v>
                </c:pt>
                <c:pt idx="2506">
                  <c:v>8.906</c:v>
                </c:pt>
                <c:pt idx="2507">
                  <c:v>4.810</c:v>
                </c:pt>
                <c:pt idx="2508">
                  <c:v>3.973</c:v>
                </c:pt>
                <c:pt idx="2509">
                  <c:v>3.502</c:v>
                </c:pt>
                <c:pt idx="2510">
                  <c:v>2.989</c:v>
                </c:pt>
                <c:pt idx="2511">
                  <c:v>2.412</c:v>
                </c:pt>
                <c:pt idx="2512">
                  <c:v>2.058</c:v>
                </c:pt>
                <c:pt idx="2513">
                  <c:v>1.694</c:v>
                </c:pt>
                <c:pt idx="2514">
                  <c:v>1.097</c:v>
                </c:pt>
                <c:pt idx="2515">
                  <c:v>6.433</c:v>
                </c:pt>
                <c:pt idx="2516">
                  <c:v>6.572</c:v>
                </c:pt>
                <c:pt idx="2517">
                  <c:v>6.628</c:v>
                </c:pt>
                <c:pt idx="2518">
                  <c:v>0,34</c:v>
                </c:pt>
                <c:pt idx="2519">
                  <c:v>-1.053</c:v>
                </c:pt>
                <c:pt idx="2520">
                  <c:v>-1.493</c:v>
                </c:pt>
                <c:pt idx="2521">
                  <c:v>6.628</c:v>
                </c:pt>
                <c:pt idx="2522">
                  <c:v>6.629</c:v>
                </c:pt>
                <c:pt idx="2523">
                  <c:v>-2.478</c:v>
                </c:pt>
                <c:pt idx="2524">
                  <c:v>-2.928</c:v>
                </c:pt>
                <c:pt idx="2525">
                  <c:v>-3.349</c:v>
                </c:pt>
                <c:pt idx="2526">
                  <c:v>6.630</c:v>
                </c:pt>
                <c:pt idx="2527">
                  <c:v>6.630</c:v>
                </c:pt>
                <c:pt idx="2528">
                  <c:v>-4.112</c:v>
                </c:pt>
                <c:pt idx="2529">
                  <c:v>-4.331</c:v>
                </c:pt>
                <c:pt idx="2530">
                  <c:v>-4.784</c:v>
                </c:pt>
                <c:pt idx="2531">
                  <c:v>6.631</c:v>
                </c:pt>
                <c:pt idx="2532">
                  <c:v>6.631</c:v>
                </c:pt>
                <c:pt idx="2533">
                  <c:v>5.434</c:v>
                </c:pt>
                <c:pt idx="2534">
                  <c:v>-5.367</c:v>
                </c:pt>
                <c:pt idx="2535">
                  <c:v>-5.500</c:v>
                </c:pt>
                <c:pt idx="2536">
                  <c:v>-5.857</c:v>
                </c:pt>
                <c:pt idx="2537">
                  <c:v>4.186</c:v>
                </c:pt>
                <c:pt idx="2538">
                  <c:v>2.938</c:v>
                </c:pt>
                <c:pt idx="2539">
                  <c:v>-6.250</c:v>
                </c:pt>
                <c:pt idx="2540">
                  <c:v>-6.401</c:v>
                </c:pt>
                <c:pt idx="2541">
                  <c:v>-6.519</c:v>
                </c:pt>
                <c:pt idx="2542">
                  <c:v>1.690</c:v>
                </c:pt>
                <c:pt idx="2543">
                  <c:v>0,443</c:v>
                </c:pt>
                <c:pt idx="2544">
                  <c:v>-6.628</c:v>
                </c:pt>
                <c:pt idx="2545">
                  <c:v>-6.629</c:v>
                </c:pt>
                <c:pt idx="2546">
                  <c:v>0,805</c:v>
                </c:pt>
                <c:pt idx="2547">
                  <c:v>-2.053</c:v>
                </c:pt>
                <c:pt idx="2548">
                  <c:v>-6.629</c:v>
                </c:pt>
                <c:pt idx="2549">
                  <c:v>-6.630</c:v>
                </c:pt>
                <c:pt idx="2550">
                  <c:v>-3.301</c:v>
                </c:pt>
                <c:pt idx="2551">
                  <c:v>-4.549</c:v>
                </c:pt>
                <c:pt idx="2552">
                  <c:v>-6.631</c:v>
                </c:pt>
                <c:pt idx="2553">
                  <c:v>-6.631</c:v>
                </c:pt>
                <c:pt idx="2554">
                  <c:v>-5.797</c:v>
                </c:pt>
                <c:pt idx="2555">
                  <c:v>-5.797</c:v>
                </c:pt>
                <c:pt idx="2556">
                  <c:v>7.287</c:v>
                </c:pt>
                <c:pt idx="2557">
                  <c:v>-7.287</c:v>
                </c:pt>
                <c:pt idx="2558">
                  <c:v>-7.283</c:v>
                </c:pt>
                <c:pt idx="2559">
                  <c:v>-7.219</c:v>
                </c:pt>
                <c:pt idx="2560">
                  <c:v>-7.135</c:v>
                </c:pt>
                <c:pt idx="2561">
                  <c:v>-7.017</c:v>
                </c:pt>
                <c:pt idx="2562">
                  <c:v>-6.866</c:v>
                </c:pt>
                <c:pt idx="2563">
                  <c:v>-6.692</c:v>
                </c:pt>
                <c:pt idx="2564">
                  <c:v>-6.350</c:v>
                </c:pt>
                <c:pt idx="2565">
                  <c:v>-5.939</c:v>
                </c:pt>
                <c:pt idx="2566">
                  <c:v>-5.653</c:v>
                </c:pt>
                <c:pt idx="2567">
                  <c:v>-5.326</c:v>
                </c:pt>
                <c:pt idx="2568">
                  <c:v>-4.974</c:v>
                </c:pt>
                <c:pt idx="2569">
                  <c:v>-4.599</c:v>
                </c:pt>
                <c:pt idx="2570">
                  <c:v>-4.202</c:v>
                </c:pt>
                <c:pt idx="2571">
                  <c:v>-3.786</c:v>
                </c:pt>
                <c:pt idx="2572">
                  <c:v>-3.353</c:v>
                </c:pt>
                <c:pt idx="2573">
                  <c:v>-2.924</c:v>
                </c:pt>
                <c:pt idx="2574">
                  <c:v>-2.182</c:v>
                </c:pt>
                <c:pt idx="2575">
                  <c:v>-1.725</c:v>
                </c:pt>
                <c:pt idx="2576">
                  <c:v>-1.238</c:v>
                </c:pt>
                <c:pt idx="2577">
                  <c:v>0,745</c:v>
                </c:pt>
                <c:pt idx="2578">
                  <c:v>0,249</c:v>
                </c:pt>
                <c:pt idx="2579">
                  <c:v>0,249</c:v>
                </c:pt>
                <c:pt idx="2580">
                  <c:v>0,745</c:v>
                </c:pt>
                <c:pt idx="2581">
                  <c:v>1.238</c:v>
                </c:pt>
                <c:pt idx="2582">
                  <c:v>1.703</c:v>
                </c:pt>
                <c:pt idx="2583">
                  <c:v>2.462</c:v>
                </c:pt>
                <c:pt idx="2584">
                  <c:v>2.903</c:v>
                </c:pt>
                <c:pt idx="2585">
                  <c:v>3.332</c:v>
                </c:pt>
                <c:pt idx="2586">
                  <c:v>3.996</c:v>
                </c:pt>
                <c:pt idx="2587">
                  <c:v>4.598</c:v>
                </c:pt>
                <c:pt idx="2588">
                  <c:v>5.151</c:v>
                </c:pt>
                <c:pt idx="2589">
                  <c:v>5.651</c:v>
                </c:pt>
                <c:pt idx="2590">
                  <c:v>6.092</c:v>
                </c:pt>
                <c:pt idx="2591">
                  <c:v>6.468</c:v>
                </c:pt>
                <c:pt idx="2592">
                  <c:v>6.777</c:v>
                </c:pt>
                <c:pt idx="2593">
                  <c:v>7.015</c:v>
                </c:pt>
                <c:pt idx="2594">
                  <c:v>7.184</c:v>
                </c:pt>
                <c:pt idx="2595">
                  <c:v>7.249</c:v>
                </c:pt>
                <c:pt idx="2596">
                  <c:v>7.283</c:v>
                </c:pt>
                <c:pt idx="2597">
                  <c:v>7.287</c:v>
                </c:pt>
                <c:pt idx="2598">
                  <c:v>8.584</c:v>
                </c:pt>
                <c:pt idx="2599">
                  <c:v>-8.584</c:v>
                </c:pt>
                <c:pt idx="2600">
                  <c:v>-8.579</c:v>
                </c:pt>
                <c:pt idx="2601">
                  <c:v>-8.504</c:v>
                </c:pt>
                <c:pt idx="2602">
                  <c:v>-8.404</c:v>
                </c:pt>
                <c:pt idx="2603">
                  <c:v>-8.265</c:v>
                </c:pt>
                <c:pt idx="2604">
                  <c:v>-8.088</c:v>
                </c:pt>
                <c:pt idx="2605">
                  <c:v>-7.877</c:v>
                </c:pt>
                <c:pt idx="2606">
                  <c:v>-7.481</c:v>
                </c:pt>
                <c:pt idx="2607">
                  <c:v>-7.005</c:v>
                </c:pt>
                <c:pt idx="2608">
                  <c:v>-6.658</c:v>
                </c:pt>
                <c:pt idx="2609">
                  <c:v>-6.273</c:v>
                </c:pt>
                <c:pt idx="2610">
                  <c:v>-5.859</c:v>
                </c:pt>
                <c:pt idx="2611">
                  <c:v>-5.417</c:v>
                </c:pt>
                <c:pt idx="2612">
                  <c:v>-4.950</c:v>
                </c:pt>
                <c:pt idx="2613">
                  <c:v>-4.460</c:v>
                </c:pt>
                <c:pt idx="2614">
                  <c:v>-3.949</c:v>
                </c:pt>
                <c:pt idx="2615">
                  <c:v>-3.431</c:v>
                </c:pt>
                <c:pt idx="2616">
                  <c:v>-2.585</c:v>
                </c:pt>
                <c:pt idx="2617">
                  <c:v>-2.032</c:v>
                </c:pt>
                <c:pt idx="2618">
                  <c:v>-1.458</c:v>
                </c:pt>
                <c:pt idx="2619">
                  <c:v>0,878</c:v>
                </c:pt>
                <c:pt idx="2620">
                  <c:v>0,293</c:v>
                </c:pt>
                <c:pt idx="2621">
                  <c:v>0,293</c:v>
                </c:pt>
                <c:pt idx="2622">
                  <c:v>0,878</c:v>
                </c:pt>
                <c:pt idx="2623">
                  <c:v>1.458</c:v>
                </c:pt>
                <c:pt idx="2624">
                  <c:v>2.020</c:v>
                </c:pt>
                <c:pt idx="2625">
                  <c:v>2.886</c:v>
                </c:pt>
                <c:pt idx="2626">
                  <c:v>3.420</c:v>
                </c:pt>
                <c:pt idx="2627">
                  <c:v>3.938</c:v>
                </c:pt>
                <c:pt idx="2628">
                  <c:v>4.707</c:v>
                </c:pt>
                <c:pt idx="2629">
                  <c:v>5.416</c:v>
                </c:pt>
                <c:pt idx="2630">
                  <c:v>6.069</c:v>
                </c:pt>
                <c:pt idx="2631">
                  <c:v>6.658</c:v>
                </c:pt>
                <c:pt idx="2632">
                  <c:v>7.177</c:v>
                </c:pt>
                <c:pt idx="2633">
                  <c:v>7.620</c:v>
                </c:pt>
                <c:pt idx="2634">
                  <c:v>7.984</c:v>
                </c:pt>
                <c:pt idx="2635">
                  <c:v>8.264</c:v>
                </c:pt>
                <c:pt idx="2636">
                  <c:v>8.460</c:v>
                </c:pt>
                <c:pt idx="2637">
                  <c:v>8.539</c:v>
                </c:pt>
                <c:pt idx="2638">
                  <c:v>8.579</c:v>
                </c:pt>
                <c:pt idx="2639">
                  <c:v>8.584</c:v>
                </c:pt>
                <c:pt idx="2640">
                  <c:v>9.600</c:v>
                </c:pt>
                <c:pt idx="2641">
                  <c:v>-9.600</c:v>
                </c:pt>
                <c:pt idx="2642">
                  <c:v>-9.595</c:v>
                </c:pt>
                <c:pt idx="2643">
                  <c:v>-9.510</c:v>
                </c:pt>
                <c:pt idx="2644">
                  <c:v>-9.399</c:v>
                </c:pt>
                <c:pt idx="2645">
                  <c:v>-9.244</c:v>
                </c:pt>
                <c:pt idx="2646">
                  <c:v>-9.045</c:v>
                </c:pt>
                <c:pt idx="2647">
                  <c:v>-8.806</c:v>
                </c:pt>
                <c:pt idx="2648">
                  <c:v>-8.367</c:v>
                </c:pt>
                <c:pt idx="2649">
                  <c:v>-7.841</c:v>
                </c:pt>
                <c:pt idx="2650">
                  <c:v>-7.447</c:v>
                </c:pt>
                <c:pt idx="2651">
                  <c:v>-7.016</c:v>
                </c:pt>
                <c:pt idx="2652">
                  <c:v>-6.552</c:v>
                </c:pt>
                <c:pt idx="2653">
                  <c:v>-6.058</c:v>
                </c:pt>
                <c:pt idx="2654">
                  <c:v>-5.536</c:v>
                </c:pt>
                <c:pt idx="2655">
                  <c:v>-4.988</c:v>
                </c:pt>
                <c:pt idx="2656">
                  <c:v>-4.417</c:v>
                </c:pt>
                <c:pt idx="2657">
                  <c:v>-3.828</c:v>
                </c:pt>
                <c:pt idx="2658">
                  <c:v>-2.901</c:v>
                </c:pt>
                <c:pt idx="2659">
                  <c:v>-2.273</c:v>
                </c:pt>
                <c:pt idx="2660">
                  <c:v>-1.631</c:v>
                </c:pt>
                <c:pt idx="2661">
                  <c:v>0,982</c:v>
                </c:pt>
                <c:pt idx="2662">
                  <c:v>0,328</c:v>
                </c:pt>
                <c:pt idx="2663">
                  <c:v>0,328</c:v>
                </c:pt>
                <c:pt idx="2664">
                  <c:v>0,982</c:v>
                </c:pt>
                <c:pt idx="2665">
                  <c:v>1.631</c:v>
                </c:pt>
                <c:pt idx="2666">
                  <c:v>2.270</c:v>
                </c:pt>
                <c:pt idx="2667">
                  <c:v>3.218</c:v>
                </c:pt>
                <c:pt idx="2668">
                  <c:v>3.825</c:v>
                </c:pt>
                <c:pt idx="2669">
                  <c:v>4.413</c:v>
                </c:pt>
                <c:pt idx="2670">
                  <c:v>5.265</c:v>
                </c:pt>
                <c:pt idx="2671">
                  <c:v>6.058</c:v>
                </c:pt>
                <c:pt idx="2672">
                  <c:v>6.788</c:v>
                </c:pt>
                <c:pt idx="2673">
                  <c:v>7.446</c:v>
                </c:pt>
                <c:pt idx="2674">
                  <c:v>8.027</c:v>
                </c:pt>
                <c:pt idx="2675">
                  <c:v>8.523</c:v>
                </c:pt>
                <c:pt idx="2676">
                  <c:v>8.930</c:v>
                </c:pt>
                <c:pt idx="2677">
                  <c:v>9.243</c:v>
                </c:pt>
                <c:pt idx="2678">
                  <c:v>9.461</c:v>
                </c:pt>
                <c:pt idx="2679">
                  <c:v>9.549</c:v>
                </c:pt>
                <c:pt idx="2680">
                  <c:v>9.594</c:v>
                </c:pt>
                <c:pt idx="2681">
                  <c:v>9.600</c:v>
                </c:pt>
                <c:pt idx="2682">
                  <c:v>8.906</c:v>
                </c:pt>
                <c:pt idx="2683">
                  <c:v>6.495</c:v>
                </c:pt>
                <c:pt idx="2684">
                  <c:v>5.487</c:v>
                </c:pt>
                <c:pt idx="2685">
                  <c:v>3.628</c:v>
                </c:pt>
                <c:pt idx="2686">
                  <c:v>6.494</c:v>
                </c:pt>
                <c:pt idx="2687">
                  <c:v>6.493</c:v>
                </c:pt>
                <c:pt idx="2688">
                  <c:v>1.768</c:v>
                </c:pt>
                <c:pt idx="2689">
                  <c:v>0,091</c:v>
                </c:pt>
                <c:pt idx="2690">
                  <c:v>6.492</c:v>
                </c:pt>
                <c:pt idx="2691">
                  <c:v>6.491</c:v>
                </c:pt>
                <c:pt idx="2692">
                  <c:v>6.463</c:v>
                </c:pt>
                <c:pt idx="2693">
                  <c:v>6.412</c:v>
                </c:pt>
                <c:pt idx="2694">
                  <c:v>6.343</c:v>
                </c:pt>
                <c:pt idx="2695">
                  <c:v>-1.950</c:v>
                </c:pt>
                <c:pt idx="2696">
                  <c:v>-3.809</c:v>
                </c:pt>
                <c:pt idx="2697">
                  <c:v>5.860</c:v>
                </c:pt>
                <c:pt idx="2698">
                  <c:v>5.511</c:v>
                </c:pt>
                <c:pt idx="2699">
                  <c:v>5.131</c:v>
                </c:pt>
                <c:pt idx="2700">
                  <c:v>-5.668</c:v>
                </c:pt>
                <c:pt idx="2701">
                  <c:v>-6.495</c:v>
                </c:pt>
                <c:pt idx="2702">
                  <c:v>-6.494</c:v>
                </c:pt>
                <c:pt idx="2703">
                  <c:v>4.188</c:v>
                </c:pt>
                <c:pt idx="2704">
                  <c:v>3.788</c:v>
                </c:pt>
                <c:pt idx="2705">
                  <c:v>3.229</c:v>
                </c:pt>
                <c:pt idx="2706">
                  <c:v>3.039</c:v>
                </c:pt>
                <c:pt idx="2707">
                  <c:v>-6.493</c:v>
                </c:pt>
                <c:pt idx="2708">
                  <c:v>-6.492</c:v>
                </c:pt>
                <c:pt idx="2709">
                  <c:v>1.635</c:v>
                </c:pt>
                <c:pt idx="2710">
                  <c:v>1.117</c:v>
                </c:pt>
                <c:pt idx="2711">
                  <c:v>0,708</c:v>
                </c:pt>
                <c:pt idx="2712">
                  <c:v>0,299</c:v>
                </c:pt>
                <c:pt idx="2713">
                  <c:v>0,15</c:v>
                </c:pt>
                <c:pt idx="2714">
                  <c:v>-6.451</c:v>
                </c:pt>
                <c:pt idx="2715">
                  <c:v>-6.369</c:v>
                </c:pt>
                <c:pt idx="2716">
                  <c:v>-6.273</c:v>
                </c:pt>
                <c:pt idx="2717">
                  <c:v>-6.149</c:v>
                </c:pt>
                <c:pt idx="2718">
                  <c:v>-6.011</c:v>
                </c:pt>
                <c:pt idx="2719">
                  <c:v>-5.723</c:v>
                </c:pt>
                <c:pt idx="2720">
                  <c:v>-5.378</c:v>
                </c:pt>
                <c:pt idx="2721">
                  <c:v>-5.151</c:v>
                </c:pt>
                <c:pt idx="2722">
                  <c:v>-4.883</c:v>
                </c:pt>
                <c:pt idx="2723">
                  <c:v>-3.584</c:v>
                </c:pt>
                <c:pt idx="2724">
                  <c:v>-3.584</c:v>
                </c:pt>
                <c:pt idx="2725">
                  <c:v>7.287</c:v>
                </c:pt>
                <c:pt idx="2726">
                  <c:v>-7.287</c:v>
                </c:pt>
                <c:pt idx="2727">
                  <c:v>-7.283</c:v>
                </c:pt>
                <c:pt idx="2728">
                  <c:v>-7.249</c:v>
                </c:pt>
                <c:pt idx="2729">
                  <c:v>-7.184</c:v>
                </c:pt>
                <c:pt idx="2730">
                  <c:v>-7.010</c:v>
                </c:pt>
                <c:pt idx="2731">
                  <c:v>-6.866</c:v>
                </c:pt>
                <c:pt idx="2732">
                  <c:v>-6.684</c:v>
                </c:pt>
                <c:pt idx="2733">
                  <c:v>-6.470</c:v>
                </c:pt>
                <c:pt idx="2734">
                  <c:v>-6.238</c:v>
                </c:pt>
                <c:pt idx="2735">
                  <c:v>-5.792</c:v>
                </c:pt>
                <c:pt idx="2736">
                  <c:v>-5.492</c:v>
                </c:pt>
                <c:pt idx="2737">
                  <c:v>-5.169</c:v>
                </c:pt>
                <c:pt idx="2738">
                  <c:v>-4.580</c:v>
                </c:pt>
                <c:pt idx="2739">
                  <c:v>-4.202</c:v>
                </c:pt>
                <c:pt idx="2740">
                  <c:v>-3.786</c:v>
                </c:pt>
                <c:pt idx="2741">
                  <c:v>-3.353</c:v>
                </c:pt>
                <c:pt idx="2742">
                  <c:v>-2.903</c:v>
                </c:pt>
                <c:pt idx="2743">
                  <c:v>-2.440</c:v>
                </c:pt>
                <c:pt idx="2744">
                  <c:v>-1.966</c:v>
                </c:pt>
                <c:pt idx="2745">
                  <c:v>-1.483</c:v>
                </c:pt>
                <c:pt idx="2746">
                  <c:v>-1.015</c:v>
                </c:pt>
                <c:pt idx="2747">
                  <c:v>0,226</c:v>
                </c:pt>
                <c:pt idx="2748">
                  <c:v>0,249</c:v>
                </c:pt>
                <c:pt idx="2749">
                  <c:v>0,745</c:v>
                </c:pt>
                <c:pt idx="2750">
                  <c:v>1.238</c:v>
                </c:pt>
                <c:pt idx="2751">
                  <c:v>1.703</c:v>
                </c:pt>
                <c:pt idx="2752">
                  <c:v>2.462</c:v>
                </c:pt>
                <c:pt idx="2753">
                  <c:v>2.903</c:v>
                </c:pt>
                <c:pt idx="2754">
                  <c:v>3.332</c:v>
                </c:pt>
                <c:pt idx="2755">
                  <c:v>3.996</c:v>
                </c:pt>
                <c:pt idx="2756">
                  <c:v>4.598</c:v>
                </c:pt>
                <c:pt idx="2757">
                  <c:v>5.151</c:v>
                </c:pt>
                <c:pt idx="2758">
                  <c:v>5.651</c:v>
                </c:pt>
                <c:pt idx="2759">
                  <c:v>6.092</c:v>
                </c:pt>
                <c:pt idx="2760">
                  <c:v>6.468</c:v>
                </c:pt>
                <c:pt idx="2761">
                  <c:v>6.777</c:v>
                </c:pt>
                <c:pt idx="2762">
                  <c:v>7.015</c:v>
                </c:pt>
                <c:pt idx="2763">
                  <c:v>7.184</c:v>
                </c:pt>
                <c:pt idx="2764">
                  <c:v>7.249</c:v>
                </c:pt>
                <c:pt idx="2765">
                  <c:v>7.283</c:v>
                </c:pt>
                <c:pt idx="2766">
                  <c:v>7.287</c:v>
                </c:pt>
                <c:pt idx="2767">
                  <c:v>8.584</c:v>
                </c:pt>
                <c:pt idx="2768">
                  <c:v>-8.584</c:v>
                </c:pt>
                <c:pt idx="2769">
                  <c:v>-8.579</c:v>
                </c:pt>
                <c:pt idx="2770">
                  <c:v>-8.539</c:v>
                </c:pt>
                <c:pt idx="2771">
                  <c:v>-8.460</c:v>
                </c:pt>
                <c:pt idx="2772">
                  <c:v>-8.262</c:v>
                </c:pt>
                <c:pt idx="2773">
                  <c:v>-8.088</c:v>
                </c:pt>
                <c:pt idx="2774">
                  <c:v>-7.873</c:v>
                </c:pt>
                <c:pt idx="2775">
                  <c:v>-7.621</c:v>
                </c:pt>
                <c:pt idx="2776">
                  <c:v>-7.340</c:v>
                </c:pt>
                <c:pt idx="2777">
                  <c:v>-6.832</c:v>
                </c:pt>
                <c:pt idx="2778">
                  <c:v>-6.470</c:v>
                </c:pt>
                <c:pt idx="2779">
                  <c:v>-6.078</c:v>
                </c:pt>
                <c:pt idx="2780">
                  <c:v>-5.407</c:v>
                </c:pt>
                <c:pt idx="2781">
                  <c:v>-4.950</c:v>
                </c:pt>
                <c:pt idx="2782">
                  <c:v>-4.460</c:v>
                </c:pt>
                <c:pt idx="2783">
                  <c:v>-3.949</c:v>
                </c:pt>
                <c:pt idx="2784">
                  <c:v>-3.420</c:v>
                </c:pt>
                <c:pt idx="2785">
                  <c:v>-2.874</c:v>
                </c:pt>
                <c:pt idx="2786">
                  <c:v>-2.316</c:v>
                </c:pt>
                <c:pt idx="2787">
                  <c:v>-1.746</c:v>
                </c:pt>
                <c:pt idx="2788">
                  <c:v>-1.181</c:v>
                </c:pt>
                <c:pt idx="2789">
                  <c:v>0,281</c:v>
                </c:pt>
                <c:pt idx="2790">
                  <c:v>0,293</c:v>
                </c:pt>
                <c:pt idx="2791">
                  <c:v>0,878</c:v>
                </c:pt>
                <c:pt idx="2792">
                  <c:v>1.458</c:v>
                </c:pt>
                <c:pt idx="2793">
                  <c:v>2.020</c:v>
                </c:pt>
                <c:pt idx="2794">
                  <c:v>2.886</c:v>
                </c:pt>
                <c:pt idx="2795">
                  <c:v>3.420</c:v>
                </c:pt>
                <c:pt idx="2796">
                  <c:v>3.938</c:v>
                </c:pt>
                <c:pt idx="2797">
                  <c:v>4.707</c:v>
                </c:pt>
                <c:pt idx="2798">
                  <c:v>5.416</c:v>
                </c:pt>
                <c:pt idx="2799">
                  <c:v>6.069</c:v>
                </c:pt>
                <c:pt idx="2800">
                  <c:v>6.658</c:v>
                </c:pt>
                <c:pt idx="2801">
                  <c:v>7.177</c:v>
                </c:pt>
                <c:pt idx="2802">
                  <c:v>7.620</c:v>
                </c:pt>
                <c:pt idx="2803">
                  <c:v>7.984</c:v>
                </c:pt>
                <c:pt idx="2804">
                  <c:v>8.264</c:v>
                </c:pt>
                <c:pt idx="2805">
                  <c:v>8.460</c:v>
                </c:pt>
                <c:pt idx="2806">
                  <c:v>8.539</c:v>
                </c:pt>
                <c:pt idx="2807">
                  <c:v>8.579</c:v>
                </c:pt>
                <c:pt idx="2808">
                  <c:v>8.584</c:v>
                </c:pt>
                <c:pt idx="2809">
                  <c:v>9.600</c:v>
                </c:pt>
                <c:pt idx="2810">
                  <c:v>-9.600</c:v>
                </c:pt>
                <c:pt idx="2811">
                  <c:v>-9.594</c:v>
                </c:pt>
                <c:pt idx="2812">
                  <c:v>-9.549</c:v>
                </c:pt>
                <c:pt idx="2813">
                  <c:v>-9.461</c:v>
                </c:pt>
                <c:pt idx="2814">
                  <c:v>-9.243</c:v>
                </c:pt>
                <c:pt idx="2815">
                  <c:v>-9.045</c:v>
                </c:pt>
                <c:pt idx="2816">
                  <c:v>-8.805</c:v>
                </c:pt>
                <c:pt idx="2817">
                  <c:v>-8.523</c:v>
                </c:pt>
                <c:pt idx="2818">
                  <c:v>-8.204</c:v>
                </c:pt>
                <c:pt idx="2819">
                  <c:v>-7.647</c:v>
                </c:pt>
                <c:pt idx="2820">
                  <c:v>-7.235</c:v>
                </c:pt>
                <c:pt idx="2821">
                  <c:v>-6.790</c:v>
                </c:pt>
                <c:pt idx="2822">
                  <c:v>-6.056</c:v>
                </c:pt>
                <c:pt idx="2823">
                  <c:v>-5.536</c:v>
                </c:pt>
                <c:pt idx="2824">
                  <c:v>-4.988</c:v>
                </c:pt>
                <c:pt idx="2825">
                  <c:v>-4.417</c:v>
                </c:pt>
                <c:pt idx="2826">
                  <c:v>-3.825</c:v>
                </c:pt>
                <c:pt idx="2827">
                  <c:v>-3.215</c:v>
                </c:pt>
                <c:pt idx="2828">
                  <c:v>-2.590</c:v>
                </c:pt>
                <c:pt idx="2829">
                  <c:v>-1.953</c:v>
                </c:pt>
                <c:pt idx="2830">
                  <c:v>-1.311</c:v>
                </c:pt>
                <c:pt idx="2831">
                  <c:v>0,324</c:v>
                </c:pt>
                <c:pt idx="2832">
                  <c:v>0,328</c:v>
                </c:pt>
                <c:pt idx="2833">
                  <c:v>0,982</c:v>
                </c:pt>
                <c:pt idx="2834">
                  <c:v>1.631</c:v>
                </c:pt>
                <c:pt idx="2835">
                  <c:v>2.270</c:v>
                </c:pt>
                <c:pt idx="2836">
                  <c:v>3.218</c:v>
                </c:pt>
                <c:pt idx="2837">
                  <c:v>3.825</c:v>
                </c:pt>
                <c:pt idx="2838">
                  <c:v>4.413</c:v>
                </c:pt>
                <c:pt idx="2839">
                  <c:v>5.265</c:v>
                </c:pt>
                <c:pt idx="2840">
                  <c:v>6.058</c:v>
                </c:pt>
                <c:pt idx="2841">
                  <c:v>6.788</c:v>
                </c:pt>
                <c:pt idx="2842">
                  <c:v>7.446</c:v>
                </c:pt>
                <c:pt idx="2843">
                  <c:v>8.027</c:v>
                </c:pt>
                <c:pt idx="2844">
                  <c:v>8.523</c:v>
                </c:pt>
                <c:pt idx="2845">
                  <c:v>8.930</c:v>
                </c:pt>
                <c:pt idx="2846">
                  <c:v>9.243</c:v>
                </c:pt>
                <c:pt idx="2847">
                  <c:v>9.461</c:v>
                </c:pt>
                <c:pt idx="2848">
                  <c:v>9.549</c:v>
                </c:pt>
                <c:pt idx="2849">
                  <c:v>9.594</c:v>
                </c:pt>
                <c:pt idx="2850">
                  <c:v>9.600</c:v>
                </c:pt>
                <c:pt idx="2851">
                  <c:v>8.906</c:v>
                </c:pt>
                <c:pt idx="2852">
                  <c:v>4.739</c:v>
                </c:pt>
                <c:pt idx="2853">
                  <c:v>3.729</c:v>
                </c:pt>
                <c:pt idx="2854">
                  <c:v>3.275</c:v>
                </c:pt>
                <c:pt idx="2855">
                  <c:v>2.780</c:v>
                </c:pt>
                <c:pt idx="2856">
                  <c:v>2.221</c:v>
                </c:pt>
                <c:pt idx="2857">
                  <c:v>1.883</c:v>
                </c:pt>
                <c:pt idx="2858">
                  <c:v>1.534</c:v>
                </c:pt>
                <c:pt idx="2859">
                  <c:v>0,881</c:v>
                </c:pt>
                <c:pt idx="2860">
                  <c:v>0,514</c:v>
                </c:pt>
                <c:pt idx="2861">
                  <c:v>0,151</c:v>
                </c:pt>
                <c:pt idx="2862">
                  <c:v>6.457</c:v>
                </c:pt>
                <c:pt idx="2863">
                  <c:v>6.491</c:v>
                </c:pt>
                <c:pt idx="2864">
                  <c:v>6.492</c:v>
                </c:pt>
                <c:pt idx="2865">
                  <c:v>-1.635</c:v>
                </c:pt>
                <c:pt idx="2866">
                  <c:v>-2.120</c:v>
                </c:pt>
                <c:pt idx="2867">
                  <c:v>-2.510</c:v>
                </c:pt>
                <c:pt idx="2868">
                  <c:v>-3.038</c:v>
                </c:pt>
                <c:pt idx="2869">
                  <c:v>6.493</c:v>
                </c:pt>
                <c:pt idx="2870">
                  <c:v>6.494</c:v>
                </c:pt>
                <c:pt idx="2871">
                  <c:v>-4.191</c:v>
                </c:pt>
                <c:pt idx="2872">
                  <c:v>-4.763</c:v>
                </c:pt>
                <c:pt idx="2873">
                  <c:v>-5.131</c:v>
                </c:pt>
                <c:pt idx="2874">
                  <c:v>5.669</c:v>
                </c:pt>
                <c:pt idx="2875">
                  <c:v>3.809</c:v>
                </c:pt>
                <c:pt idx="2876">
                  <c:v>-5.863</c:v>
                </c:pt>
                <c:pt idx="2877">
                  <c:v>-6.149</c:v>
                </c:pt>
                <c:pt idx="2878">
                  <c:v>-6.262</c:v>
                </c:pt>
                <c:pt idx="2879">
                  <c:v>-6.343</c:v>
                </c:pt>
                <c:pt idx="2880">
                  <c:v>1.950</c:v>
                </c:pt>
                <c:pt idx="2881">
                  <c:v>0,091</c:v>
                </c:pt>
                <c:pt idx="2882">
                  <c:v>-6.492</c:v>
                </c:pt>
                <c:pt idx="2883">
                  <c:v>-6.493</c:v>
                </c:pt>
                <c:pt idx="2884">
                  <c:v>-1.768</c:v>
                </c:pt>
                <c:pt idx="2885">
                  <c:v>-3.628</c:v>
                </c:pt>
                <c:pt idx="2886">
                  <c:v>-6.494</c:v>
                </c:pt>
                <c:pt idx="2887">
                  <c:v>-6.495</c:v>
                </c:pt>
                <c:pt idx="2888">
                  <c:v>-5.487</c:v>
                </c:pt>
                <c:pt idx="2889">
                  <c:v>-5.487</c:v>
                </c:pt>
                <c:pt idx="2890">
                  <c:v>1.014</c:v>
                </c:pt>
                <c:pt idx="2891">
                  <c:v>0,864</c:v>
                </c:pt>
                <c:pt idx="2892">
                  <c:v>0,722</c:v>
                </c:pt>
                <c:pt idx="2893">
                  <c:v>0,55</c:v>
                </c:pt>
                <c:pt idx="2894">
                  <c:v>0,354</c:v>
                </c:pt>
                <c:pt idx="2895">
                  <c:v>0,144</c:v>
                </c:pt>
                <c:pt idx="2896">
                  <c:v>0,072</c:v>
                </c:pt>
                <c:pt idx="2897">
                  <c:v>0,29</c:v>
                </c:pt>
                <c:pt idx="2898">
                  <c:v>0,484</c:v>
                </c:pt>
                <c:pt idx="2899">
                  <c:v>0,598</c:v>
                </c:pt>
                <c:pt idx="2900">
                  <c:v>0,773</c:v>
                </c:pt>
                <c:pt idx="2901">
                  <c:v>0,904</c:v>
                </c:pt>
                <c:pt idx="2902">
                  <c:v>0,997</c:v>
                </c:pt>
                <c:pt idx="2903">
                  <c:v>-1.049</c:v>
                </c:pt>
                <c:pt idx="2904">
                  <c:v>-1.057</c:v>
                </c:pt>
                <c:pt idx="2905">
                  <c:v>-1.041</c:v>
                </c:pt>
                <c:pt idx="2906">
                  <c:v>0,97</c:v>
                </c:pt>
                <c:pt idx="2907">
                  <c:v>0,864</c:v>
                </c:pt>
                <c:pt idx="2908">
                  <c:v>0,722</c:v>
                </c:pt>
                <c:pt idx="2909">
                  <c:v>0,55</c:v>
                </c:pt>
                <c:pt idx="2910">
                  <c:v>0,354</c:v>
                </c:pt>
                <c:pt idx="2911">
                  <c:v>0,144</c:v>
                </c:pt>
                <c:pt idx="2912">
                  <c:v>0,192</c:v>
                </c:pt>
                <c:pt idx="2913">
                  <c:v>0,421</c:v>
                </c:pt>
                <c:pt idx="2914">
                  <c:v>0,61</c:v>
                </c:pt>
                <c:pt idx="2915">
                  <c:v>0,773</c:v>
                </c:pt>
                <c:pt idx="2916">
                  <c:v>0,904</c:v>
                </c:pt>
                <c:pt idx="2917">
                  <c:v>0,997</c:v>
                </c:pt>
                <c:pt idx="2918">
                  <c:v>1.048</c:v>
                </c:pt>
                <c:pt idx="2919">
                  <c:v>1.055</c:v>
                </c:pt>
                <c:pt idx="2920">
                  <c:v>1.035</c:v>
                </c:pt>
                <c:pt idx="2921">
                  <c:v>1.971</c:v>
                </c:pt>
                <c:pt idx="2922">
                  <c:v>1.910</c:v>
                </c:pt>
                <c:pt idx="2923">
                  <c:v>1.698</c:v>
                </c:pt>
                <c:pt idx="2924">
                  <c:v>1.419</c:v>
                </c:pt>
                <c:pt idx="2925">
                  <c:v>1.080</c:v>
                </c:pt>
                <c:pt idx="2926">
                  <c:v>0,696</c:v>
                </c:pt>
                <c:pt idx="2927">
                  <c:v>0,283</c:v>
                </c:pt>
                <c:pt idx="2928">
                  <c:v>0,142</c:v>
                </c:pt>
                <c:pt idx="2929">
                  <c:v>0,562</c:v>
                </c:pt>
                <c:pt idx="2930">
                  <c:v>0,929</c:v>
                </c:pt>
                <c:pt idx="2931">
                  <c:v>-1.195</c:v>
                </c:pt>
                <c:pt idx="2932">
                  <c:v>-1.519</c:v>
                </c:pt>
                <c:pt idx="2933">
                  <c:v>-1.776</c:v>
                </c:pt>
                <c:pt idx="2934">
                  <c:v>-1.959</c:v>
                </c:pt>
                <c:pt idx="2935">
                  <c:v>-2.060</c:v>
                </c:pt>
                <c:pt idx="2936">
                  <c:v>-2.075</c:v>
                </c:pt>
                <c:pt idx="2937">
                  <c:v>-2.037</c:v>
                </c:pt>
                <c:pt idx="2938">
                  <c:v>-1.907</c:v>
                </c:pt>
                <c:pt idx="2939">
                  <c:v>-1.698</c:v>
                </c:pt>
                <c:pt idx="2940">
                  <c:v>-1.419</c:v>
                </c:pt>
                <c:pt idx="2941">
                  <c:v>-1.080</c:v>
                </c:pt>
                <c:pt idx="2942">
                  <c:v>0,696</c:v>
                </c:pt>
                <c:pt idx="2943">
                  <c:v>0,283</c:v>
                </c:pt>
                <c:pt idx="2944">
                  <c:v>0,149</c:v>
                </c:pt>
                <c:pt idx="2945">
                  <c:v>0,416</c:v>
                </c:pt>
                <c:pt idx="2946">
                  <c:v>0,828</c:v>
                </c:pt>
                <c:pt idx="2947">
                  <c:v>1.199</c:v>
                </c:pt>
                <c:pt idx="2948">
                  <c:v>1.519</c:v>
                </c:pt>
                <c:pt idx="2949">
                  <c:v>1.776</c:v>
                </c:pt>
                <c:pt idx="2950">
                  <c:v>1.959</c:v>
                </c:pt>
                <c:pt idx="2951">
                  <c:v>2.059</c:v>
                </c:pt>
                <c:pt idx="2952">
                  <c:v>2.074</c:v>
                </c:pt>
                <c:pt idx="2953">
                  <c:v>2.006</c:v>
                </c:pt>
                <c:pt idx="2954">
                  <c:v>1.795</c:v>
                </c:pt>
                <c:pt idx="2955">
                  <c:v>1.795</c:v>
                </c:pt>
                <c:pt idx="2956">
                  <c:v>0,989</c:v>
                </c:pt>
                <c:pt idx="2957">
                  <c:v>0,919</c:v>
                </c:pt>
                <c:pt idx="2958">
                  <c:v>0,819</c:v>
                </c:pt>
                <c:pt idx="2959">
                  <c:v>0,684</c:v>
                </c:pt>
                <c:pt idx="2960">
                  <c:v>0,521</c:v>
                </c:pt>
                <c:pt idx="2961">
                  <c:v>0,336</c:v>
                </c:pt>
                <c:pt idx="2962">
                  <c:v>0,136</c:v>
                </c:pt>
                <c:pt idx="2963">
                  <c:v>0,068</c:v>
                </c:pt>
                <c:pt idx="2964">
                  <c:v>0,279</c:v>
                </c:pt>
                <c:pt idx="2965">
                  <c:v>0,436</c:v>
                </c:pt>
                <c:pt idx="2966">
                  <c:v>0,57</c:v>
                </c:pt>
                <c:pt idx="2967">
                  <c:v>0,733</c:v>
                </c:pt>
                <c:pt idx="2968">
                  <c:v>0,856</c:v>
                </c:pt>
                <c:pt idx="2969">
                  <c:v>0,944</c:v>
                </c:pt>
                <c:pt idx="2970">
                  <c:v>0,995</c:v>
                </c:pt>
                <c:pt idx="2971">
                  <c:v>-1.003</c:v>
                </c:pt>
                <c:pt idx="2972">
                  <c:v>0,985</c:v>
                </c:pt>
                <c:pt idx="2973">
                  <c:v>0,919</c:v>
                </c:pt>
                <c:pt idx="2974">
                  <c:v>0,819</c:v>
                </c:pt>
                <c:pt idx="2975">
                  <c:v>0,684</c:v>
                </c:pt>
                <c:pt idx="2976">
                  <c:v>0,521</c:v>
                </c:pt>
                <c:pt idx="2977">
                  <c:v>0,336</c:v>
                </c:pt>
                <c:pt idx="2978">
                  <c:v>0,136</c:v>
                </c:pt>
                <c:pt idx="2979">
                  <c:v>0,068</c:v>
                </c:pt>
                <c:pt idx="2980">
                  <c:v>0,27</c:v>
                </c:pt>
                <c:pt idx="2981">
                  <c:v>0,461</c:v>
                </c:pt>
                <c:pt idx="2982">
                  <c:v>0,64</c:v>
                </c:pt>
                <c:pt idx="2983">
                  <c:v>0,76</c:v>
                </c:pt>
                <c:pt idx="2984">
                  <c:v>0,852</c:v>
                </c:pt>
                <c:pt idx="2985">
                  <c:v>0,944</c:v>
                </c:pt>
                <c:pt idx="2986">
                  <c:v>0,993</c:v>
                </c:pt>
                <c:pt idx="2987">
                  <c:v>1.000</c:v>
                </c:pt>
                <c:pt idx="2988">
                  <c:v>1.957</c:v>
                </c:pt>
                <c:pt idx="2989">
                  <c:v>1.856</c:v>
                </c:pt>
                <c:pt idx="2990">
                  <c:v>1.653</c:v>
                </c:pt>
                <c:pt idx="2991">
                  <c:v>1.381</c:v>
                </c:pt>
                <c:pt idx="2992">
                  <c:v>1.051</c:v>
                </c:pt>
                <c:pt idx="2993">
                  <c:v>0,678</c:v>
                </c:pt>
                <c:pt idx="2994">
                  <c:v>0,276</c:v>
                </c:pt>
                <c:pt idx="2995">
                  <c:v>0,138</c:v>
                </c:pt>
                <c:pt idx="2996">
                  <c:v>0,548</c:v>
                </c:pt>
                <c:pt idx="2997">
                  <c:v>0,875</c:v>
                </c:pt>
                <c:pt idx="2998">
                  <c:v>-1.165</c:v>
                </c:pt>
                <c:pt idx="2999">
                  <c:v>-1.479</c:v>
                </c:pt>
                <c:pt idx="3000">
                  <c:v>-1.729</c:v>
                </c:pt>
                <c:pt idx="3001">
                  <c:v>-1.907</c:v>
                </c:pt>
                <c:pt idx="3002">
                  <c:v>-2.005</c:v>
                </c:pt>
                <c:pt idx="3003">
                  <c:v>-2.021</c:v>
                </c:pt>
                <c:pt idx="3004">
                  <c:v>-1.982</c:v>
                </c:pt>
                <c:pt idx="3005">
                  <c:v>-1.856</c:v>
                </c:pt>
                <c:pt idx="3006">
                  <c:v>-1.653</c:v>
                </c:pt>
                <c:pt idx="3007">
                  <c:v>-1.381</c:v>
                </c:pt>
                <c:pt idx="3008">
                  <c:v>-1.051</c:v>
                </c:pt>
                <c:pt idx="3009">
                  <c:v>0,678</c:v>
                </c:pt>
                <c:pt idx="3010">
                  <c:v>0,276</c:v>
                </c:pt>
                <c:pt idx="3011">
                  <c:v>0,138</c:v>
                </c:pt>
                <c:pt idx="3012">
                  <c:v>0,546</c:v>
                </c:pt>
                <c:pt idx="3013">
                  <c:v>0,931</c:v>
                </c:pt>
                <c:pt idx="3014">
                  <c:v>1.279</c:v>
                </c:pt>
                <c:pt idx="3015">
                  <c:v>1.529</c:v>
                </c:pt>
                <c:pt idx="3016">
                  <c:v>1.727</c:v>
                </c:pt>
                <c:pt idx="3017">
                  <c:v>1.907</c:v>
                </c:pt>
                <c:pt idx="3018">
                  <c:v>2.004</c:v>
                </c:pt>
                <c:pt idx="3019">
                  <c:v>2.019</c:v>
                </c:pt>
                <c:pt idx="3020">
                  <c:v>1.988</c:v>
                </c:pt>
                <c:pt idx="3021">
                  <c:v>1.638</c:v>
                </c:pt>
                <c:pt idx="3022">
                  <c:v>1.638</c:v>
                </c:pt>
                <c:pt idx="3023">
                  <c:v>0,889</c:v>
                </c:pt>
                <c:pt idx="3024">
                  <c:v>0,833</c:v>
                </c:pt>
                <c:pt idx="3025">
                  <c:v>0,73</c:v>
                </c:pt>
                <c:pt idx="3026">
                  <c:v>0,524</c:v>
                </c:pt>
                <c:pt idx="3027">
                  <c:v>0,362</c:v>
                </c:pt>
                <c:pt idx="3028">
                  <c:v>0,185</c:v>
                </c:pt>
                <c:pt idx="3029">
                  <c:v>0</c:v>
                </c:pt>
                <c:pt idx="3030">
                  <c:v>0,185</c:v>
                </c:pt>
                <c:pt idx="3031">
                  <c:v>0,362</c:v>
                </c:pt>
                <c:pt idx="3032">
                  <c:v>0,524</c:v>
                </c:pt>
                <c:pt idx="3033">
                  <c:v>0,663</c:v>
                </c:pt>
                <c:pt idx="3034">
                  <c:v>0,776</c:v>
                </c:pt>
                <c:pt idx="3035">
                  <c:v>0,855</c:v>
                </c:pt>
                <c:pt idx="3036">
                  <c:v>0,902</c:v>
                </c:pt>
                <c:pt idx="3037">
                  <c:v>0,909</c:v>
                </c:pt>
                <c:pt idx="3038">
                  <c:v>0,891</c:v>
                </c:pt>
                <c:pt idx="3039">
                  <c:v>0,833</c:v>
                </c:pt>
                <c:pt idx="3040">
                  <c:v>0,742</c:v>
                </c:pt>
                <c:pt idx="3041">
                  <c:v>0,604</c:v>
                </c:pt>
                <c:pt idx="3042">
                  <c:v>0,362</c:v>
                </c:pt>
                <c:pt idx="3043">
                  <c:v>0,185</c:v>
                </c:pt>
                <c:pt idx="3044">
                  <c:v>0</c:v>
                </c:pt>
                <c:pt idx="3045">
                  <c:v>0,185</c:v>
                </c:pt>
                <c:pt idx="3046">
                  <c:v>0,362</c:v>
                </c:pt>
                <c:pt idx="3047">
                  <c:v>0,604</c:v>
                </c:pt>
                <c:pt idx="3048">
                  <c:v>0,742</c:v>
                </c:pt>
                <c:pt idx="3049">
                  <c:v>0,833</c:v>
                </c:pt>
                <c:pt idx="3050">
                  <c:v>0,889</c:v>
                </c:pt>
                <c:pt idx="3051">
                  <c:v>0,901</c:v>
                </c:pt>
                <c:pt idx="3052">
                  <c:v>1.857</c:v>
                </c:pt>
                <c:pt idx="3053">
                  <c:v>1.769</c:v>
                </c:pt>
                <c:pt idx="3054">
                  <c:v>1.572</c:v>
                </c:pt>
                <c:pt idx="3055">
                  <c:v>1.415</c:v>
                </c:pt>
                <c:pt idx="3056">
                  <c:v>1.112</c:v>
                </c:pt>
                <c:pt idx="3057">
                  <c:v>0,768</c:v>
                </c:pt>
                <c:pt idx="3058">
                  <c:v>0,392</c:v>
                </c:pt>
                <c:pt idx="3059">
                  <c:v>0</c:v>
                </c:pt>
                <c:pt idx="3060">
                  <c:v>0,392</c:v>
                </c:pt>
                <c:pt idx="3061">
                  <c:v>0,768</c:v>
                </c:pt>
                <c:pt idx="3062">
                  <c:v>-1.112</c:v>
                </c:pt>
                <c:pt idx="3063">
                  <c:v>-1.410</c:v>
                </c:pt>
                <c:pt idx="3064">
                  <c:v>-1.648</c:v>
                </c:pt>
                <c:pt idx="3065">
                  <c:v>-1.817</c:v>
                </c:pt>
                <c:pt idx="3066">
                  <c:v>-1.912</c:v>
                </c:pt>
                <c:pt idx="3067">
                  <c:v>-1.928</c:v>
                </c:pt>
                <c:pt idx="3068">
                  <c:v>-1.889</c:v>
                </c:pt>
                <c:pt idx="3069">
                  <c:v>-1.769</c:v>
                </c:pt>
                <c:pt idx="3070">
                  <c:v>-1.576</c:v>
                </c:pt>
                <c:pt idx="3071">
                  <c:v>-1.312</c:v>
                </c:pt>
                <c:pt idx="3072">
                  <c:v>-1.118</c:v>
                </c:pt>
                <c:pt idx="3073">
                  <c:v>0,768</c:v>
                </c:pt>
                <c:pt idx="3074">
                  <c:v>0,392</c:v>
                </c:pt>
                <c:pt idx="3075">
                  <c:v>0</c:v>
                </c:pt>
                <c:pt idx="3076">
                  <c:v>0,392</c:v>
                </c:pt>
                <c:pt idx="3077">
                  <c:v>0,768</c:v>
                </c:pt>
                <c:pt idx="3078">
                  <c:v>1.118</c:v>
                </c:pt>
                <c:pt idx="3079">
                  <c:v>1.312</c:v>
                </c:pt>
                <c:pt idx="3080">
                  <c:v>1.576</c:v>
                </c:pt>
                <c:pt idx="3081">
                  <c:v>1.769</c:v>
                </c:pt>
                <c:pt idx="3082">
                  <c:v>1.888</c:v>
                </c:pt>
                <c:pt idx="3083">
                  <c:v>1.929</c:v>
                </c:pt>
                <c:pt idx="3084">
                  <c:v>1.890</c:v>
                </c:pt>
                <c:pt idx="3085">
                  <c:v>1.580</c:v>
                </c:pt>
                <c:pt idx="3086">
                  <c:v>1.580</c:v>
                </c:pt>
                <c:pt idx="3087">
                  <c:v>0,774</c:v>
                </c:pt>
                <c:pt idx="3088">
                  <c:v>0,724</c:v>
                </c:pt>
                <c:pt idx="3089">
                  <c:v>0,657</c:v>
                </c:pt>
                <c:pt idx="3090">
                  <c:v>0,562</c:v>
                </c:pt>
                <c:pt idx="3091">
                  <c:v>0,443</c:v>
                </c:pt>
                <c:pt idx="3092">
                  <c:v>0,306</c:v>
                </c:pt>
                <c:pt idx="3093">
                  <c:v>0,156</c:v>
                </c:pt>
                <c:pt idx="3094">
                  <c:v>0</c:v>
                </c:pt>
                <c:pt idx="3095">
                  <c:v>0,156</c:v>
                </c:pt>
                <c:pt idx="3096">
                  <c:v>0,306</c:v>
                </c:pt>
                <c:pt idx="3097">
                  <c:v>0,443</c:v>
                </c:pt>
                <c:pt idx="3098">
                  <c:v>0,562</c:v>
                </c:pt>
                <c:pt idx="3099">
                  <c:v>0,657</c:v>
                </c:pt>
                <c:pt idx="3100">
                  <c:v>0,724</c:v>
                </c:pt>
                <c:pt idx="3101">
                  <c:v>0,765</c:v>
                </c:pt>
                <c:pt idx="3102">
                  <c:v>0,754</c:v>
                </c:pt>
                <c:pt idx="3103">
                  <c:v>0,705</c:v>
                </c:pt>
                <c:pt idx="3104">
                  <c:v>0,628</c:v>
                </c:pt>
                <c:pt idx="3105">
                  <c:v>0,49</c:v>
                </c:pt>
                <c:pt idx="3106">
                  <c:v>0,306</c:v>
                </c:pt>
                <c:pt idx="3107">
                  <c:v>0,156</c:v>
                </c:pt>
                <c:pt idx="3108">
                  <c:v>0,053</c:v>
                </c:pt>
                <c:pt idx="3109">
                  <c:v>0,257</c:v>
                </c:pt>
                <c:pt idx="3110">
                  <c:v>0,399</c:v>
                </c:pt>
                <c:pt idx="3111">
                  <c:v>0,525</c:v>
                </c:pt>
                <c:pt idx="3112">
                  <c:v>0,628</c:v>
                </c:pt>
                <c:pt idx="3113">
                  <c:v>0,705</c:v>
                </c:pt>
                <c:pt idx="3114">
                  <c:v>0,762</c:v>
                </c:pt>
                <c:pt idx="3115">
                  <c:v>1.782</c:v>
                </c:pt>
                <c:pt idx="3116">
                  <c:v>1.775</c:v>
                </c:pt>
                <c:pt idx="3117">
                  <c:v>1.686</c:v>
                </c:pt>
                <c:pt idx="3118">
                  <c:v>1.529</c:v>
                </c:pt>
                <c:pt idx="3119">
                  <c:v>1.308</c:v>
                </c:pt>
                <c:pt idx="3120">
                  <c:v>1.032</c:v>
                </c:pt>
                <c:pt idx="3121">
                  <c:v>0,713</c:v>
                </c:pt>
                <c:pt idx="3122">
                  <c:v>0,364</c:v>
                </c:pt>
                <c:pt idx="3123">
                  <c:v>0</c:v>
                </c:pt>
                <c:pt idx="3124">
                  <c:v>0,364</c:v>
                </c:pt>
                <c:pt idx="3125">
                  <c:v>0,713</c:v>
                </c:pt>
                <c:pt idx="3126">
                  <c:v>-1.032</c:v>
                </c:pt>
                <c:pt idx="3127">
                  <c:v>-1.308</c:v>
                </c:pt>
                <c:pt idx="3128">
                  <c:v>-1.529</c:v>
                </c:pt>
                <c:pt idx="3129">
                  <c:v>-1.686</c:v>
                </c:pt>
                <c:pt idx="3130">
                  <c:v>-1.774</c:v>
                </c:pt>
                <c:pt idx="3131">
                  <c:v>-1.789</c:v>
                </c:pt>
                <c:pt idx="3132">
                  <c:v>-1.753</c:v>
                </c:pt>
                <c:pt idx="3133">
                  <c:v>-1.641</c:v>
                </c:pt>
                <c:pt idx="3134">
                  <c:v>-1.462</c:v>
                </c:pt>
                <c:pt idx="3135">
                  <c:v>-1.217</c:v>
                </c:pt>
                <c:pt idx="3136">
                  <c:v>-1.038</c:v>
                </c:pt>
                <c:pt idx="3137">
                  <c:v>0,713</c:v>
                </c:pt>
                <c:pt idx="3138">
                  <c:v>0,364</c:v>
                </c:pt>
                <c:pt idx="3139">
                  <c:v>0,007</c:v>
                </c:pt>
                <c:pt idx="3140">
                  <c:v>0,237</c:v>
                </c:pt>
                <c:pt idx="3141">
                  <c:v>0,599</c:v>
                </c:pt>
                <c:pt idx="3142">
                  <c:v>0,93</c:v>
                </c:pt>
                <c:pt idx="3143">
                  <c:v>1.221</c:v>
                </c:pt>
                <c:pt idx="3144">
                  <c:v>1.462</c:v>
                </c:pt>
                <c:pt idx="3145">
                  <c:v>1.641</c:v>
                </c:pt>
                <c:pt idx="3146">
                  <c:v>1.752</c:v>
                </c:pt>
                <c:pt idx="3147">
                  <c:v>1.790</c:v>
                </c:pt>
                <c:pt idx="3148">
                  <c:v>1.683</c:v>
                </c:pt>
                <c:pt idx="3149">
                  <c:v>1.683</c:v>
                </c:pt>
                <c:pt idx="3150">
                  <c:v>0,562</c:v>
                </c:pt>
                <c:pt idx="3151">
                  <c:v>0,496</c:v>
                </c:pt>
                <c:pt idx="3152">
                  <c:v>0,332</c:v>
                </c:pt>
                <c:pt idx="3153">
                  <c:v>0,117</c:v>
                </c:pt>
                <c:pt idx="3154">
                  <c:v>0,117</c:v>
                </c:pt>
                <c:pt idx="3155">
                  <c:v>0,229</c:v>
                </c:pt>
                <c:pt idx="3156">
                  <c:v>0,42</c:v>
                </c:pt>
                <c:pt idx="3157">
                  <c:v>0,542</c:v>
                </c:pt>
                <c:pt idx="3158">
                  <c:v>0,577</c:v>
                </c:pt>
                <c:pt idx="3159">
                  <c:v>0,528</c:v>
                </c:pt>
                <c:pt idx="3160">
                  <c:v>0,393</c:v>
                </c:pt>
                <c:pt idx="3161">
                  <c:v>0,299</c:v>
                </c:pt>
                <c:pt idx="3162">
                  <c:v>0,157</c:v>
                </c:pt>
                <c:pt idx="3163">
                  <c:v>0</c:v>
                </c:pt>
                <c:pt idx="3164">
                  <c:v>0,205</c:v>
                </c:pt>
                <c:pt idx="3165">
                  <c:v>0,393</c:v>
                </c:pt>
                <c:pt idx="3166">
                  <c:v>0,528</c:v>
                </c:pt>
                <c:pt idx="3167">
                  <c:v>0,563</c:v>
                </c:pt>
                <c:pt idx="3168">
                  <c:v>0,574</c:v>
                </c:pt>
                <c:pt idx="3169">
                  <c:v>1.535</c:v>
                </c:pt>
                <c:pt idx="3170">
                  <c:v>1.488</c:v>
                </c:pt>
                <c:pt idx="3171">
                  <c:v>1.365</c:v>
                </c:pt>
                <c:pt idx="3172">
                  <c:v>1.166</c:v>
                </c:pt>
                <c:pt idx="3173">
                  <c:v>0,92</c:v>
                </c:pt>
                <c:pt idx="3174">
                  <c:v>0,636</c:v>
                </c:pt>
                <c:pt idx="3175">
                  <c:v>0,325</c:v>
                </c:pt>
                <c:pt idx="3176">
                  <c:v>0</c:v>
                </c:pt>
                <c:pt idx="3177">
                  <c:v>0,325</c:v>
                </c:pt>
                <c:pt idx="3178">
                  <c:v>0,636</c:v>
                </c:pt>
                <c:pt idx="3179">
                  <c:v>0,92</c:v>
                </c:pt>
                <c:pt idx="3180">
                  <c:v>-1.166</c:v>
                </c:pt>
                <c:pt idx="3181">
                  <c:v>-1.364</c:v>
                </c:pt>
                <c:pt idx="3182">
                  <c:v>-1.504</c:v>
                </c:pt>
                <c:pt idx="3183">
                  <c:v>-1.582</c:v>
                </c:pt>
                <c:pt idx="3184">
                  <c:v>-1.595</c:v>
                </c:pt>
                <c:pt idx="3185">
                  <c:v>-1.563</c:v>
                </c:pt>
                <c:pt idx="3186">
                  <c:v>-1.464</c:v>
                </c:pt>
                <c:pt idx="3187">
                  <c:v>-1.304</c:v>
                </c:pt>
                <c:pt idx="3188">
                  <c:v>-1.089</c:v>
                </c:pt>
                <c:pt idx="3189">
                  <c:v>0,829</c:v>
                </c:pt>
                <c:pt idx="3190">
                  <c:v>0,528</c:v>
                </c:pt>
                <c:pt idx="3191">
                  <c:v>0,332</c:v>
                </c:pt>
                <c:pt idx="3192">
                  <c:v>0</c:v>
                </c:pt>
                <c:pt idx="3193">
                  <c:v>0,328</c:v>
                </c:pt>
                <c:pt idx="3194">
                  <c:v>0,576</c:v>
                </c:pt>
                <c:pt idx="3195">
                  <c:v>0,828</c:v>
                </c:pt>
                <c:pt idx="3196">
                  <c:v>1.089</c:v>
                </c:pt>
                <c:pt idx="3197">
                  <c:v>1.304</c:v>
                </c:pt>
                <c:pt idx="3198">
                  <c:v>1.464</c:v>
                </c:pt>
                <c:pt idx="3199">
                  <c:v>1.563</c:v>
                </c:pt>
                <c:pt idx="3200">
                  <c:v>1.596</c:v>
                </c:pt>
                <c:pt idx="3201">
                  <c:v>1.565</c:v>
                </c:pt>
                <c:pt idx="3202">
                  <c:v>1.380</c:v>
                </c:pt>
                <c:pt idx="3203">
                  <c:v>1.380</c:v>
                </c:pt>
                <c:pt idx="3204">
                  <c:v>1.282</c:v>
                </c:pt>
                <c:pt idx="3205">
                  <c:v>1.182</c:v>
                </c:pt>
                <c:pt idx="3206">
                  <c:v>1.032</c:v>
                </c:pt>
                <c:pt idx="3207">
                  <c:v>0,854</c:v>
                </c:pt>
                <c:pt idx="3208">
                  <c:v>0,696</c:v>
                </c:pt>
                <c:pt idx="3209">
                  <c:v>0,446</c:v>
                </c:pt>
                <c:pt idx="3210">
                  <c:v>0,181</c:v>
                </c:pt>
                <c:pt idx="3211">
                  <c:v>0,092</c:v>
                </c:pt>
                <c:pt idx="3212">
                  <c:v>0,342</c:v>
                </c:pt>
                <c:pt idx="3213">
                  <c:v>0,526</c:v>
                </c:pt>
                <c:pt idx="3214">
                  <c:v>0,768</c:v>
                </c:pt>
                <c:pt idx="3215">
                  <c:v>0,973</c:v>
                </c:pt>
                <c:pt idx="3216">
                  <c:v>-1.138</c:v>
                </c:pt>
                <c:pt idx="3217">
                  <c:v>-1.254</c:v>
                </c:pt>
                <c:pt idx="3218">
                  <c:v>-1.319</c:v>
                </c:pt>
                <c:pt idx="3219">
                  <c:v>-1.329</c:v>
                </c:pt>
                <c:pt idx="3220">
                  <c:v>-1.305</c:v>
                </c:pt>
                <c:pt idx="3221">
                  <c:v>-1.221</c:v>
                </c:pt>
                <c:pt idx="3222">
                  <c:v>-1.088</c:v>
                </c:pt>
                <c:pt idx="3223">
                  <c:v>0,909</c:v>
                </c:pt>
                <c:pt idx="3224">
                  <c:v>0,692</c:v>
                </c:pt>
                <c:pt idx="3225">
                  <c:v>0,446</c:v>
                </c:pt>
                <c:pt idx="3226">
                  <c:v>0,181</c:v>
                </c:pt>
                <c:pt idx="3227">
                  <c:v>0,091</c:v>
                </c:pt>
                <c:pt idx="3228">
                  <c:v>0,359</c:v>
                </c:pt>
                <c:pt idx="3229">
                  <c:v>0,613</c:v>
                </c:pt>
                <c:pt idx="3230">
                  <c:v>0,841</c:v>
                </c:pt>
                <c:pt idx="3231">
                  <c:v>1.021</c:v>
                </c:pt>
                <c:pt idx="3232">
                  <c:v>1.136</c:v>
                </c:pt>
                <c:pt idx="3233">
                  <c:v>1.254</c:v>
                </c:pt>
                <c:pt idx="3234">
                  <c:v>1.319</c:v>
                </c:pt>
                <c:pt idx="3235">
                  <c:v>1.328</c:v>
                </c:pt>
                <c:pt idx="3236">
                  <c:v>1.302</c:v>
                </c:pt>
                <c:pt idx="3237">
                  <c:v>1.018</c:v>
                </c:pt>
                <c:pt idx="3238">
                  <c:v>1.018</c:v>
                </c:pt>
                <c:pt idx="3239">
                  <c:v>0,923</c:v>
                </c:pt>
                <c:pt idx="3240">
                  <c:v>0,875</c:v>
                </c:pt>
                <c:pt idx="3241">
                  <c:v>0,778</c:v>
                </c:pt>
                <c:pt idx="3242">
                  <c:v>0,65</c:v>
                </c:pt>
                <c:pt idx="3243">
                  <c:v>0,495</c:v>
                </c:pt>
                <c:pt idx="3244">
                  <c:v>0,319</c:v>
                </c:pt>
                <c:pt idx="3245">
                  <c:v>0,13</c:v>
                </c:pt>
                <c:pt idx="3246">
                  <c:v>0,072</c:v>
                </c:pt>
                <c:pt idx="3247">
                  <c:v>0,187</c:v>
                </c:pt>
                <c:pt idx="3248">
                  <c:v>0,379</c:v>
                </c:pt>
                <c:pt idx="3249">
                  <c:v>0,549</c:v>
                </c:pt>
                <c:pt idx="3250">
                  <c:v>0,696</c:v>
                </c:pt>
                <c:pt idx="3251">
                  <c:v>0,813</c:v>
                </c:pt>
                <c:pt idx="3252">
                  <c:v>0,897</c:v>
                </c:pt>
                <c:pt idx="3253">
                  <c:v>0,943</c:v>
                </c:pt>
                <c:pt idx="3254">
                  <c:v>0,951</c:v>
                </c:pt>
                <c:pt idx="3255">
                  <c:v>0,933</c:v>
                </c:pt>
                <c:pt idx="3256">
                  <c:v>0,873</c:v>
                </c:pt>
                <c:pt idx="3257">
                  <c:v>0,778</c:v>
                </c:pt>
                <c:pt idx="3258">
                  <c:v>0,65</c:v>
                </c:pt>
                <c:pt idx="3259">
                  <c:v>0,495</c:v>
                </c:pt>
                <c:pt idx="3260">
                  <c:v>0,319</c:v>
                </c:pt>
                <c:pt idx="3261">
                  <c:v>0,13</c:v>
                </c:pt>
                <c:pt idx="3262">
                  <c:v>0,067</c:v>
                </c:pt>
                <c:pt idx="3263">
                  <c:v>0,232</c:v>
                </c:pt>
                <c:pt idx="3264">
                  <c:v>0,376</c:v>
                </c:pt>
                <c:pt idx="3265">
                  <c:v>0,549</c:v>
                </c:pt>
                <c:pt idx="3266">
                  <c:v>0,696</c:v>
                </c:pt>
                <c:pt idx="3267">
                  <c:v>0,813</c:v>
                </c:pt>
                <c:pt idx="3268">
                  <c:v>0,897</c:v>
                </c:pt>
                <c:pt idx="3269">
                  <c:v>0,943</c:v>
                </c:pt>
                <c:pt idx="3270">
                  <c:v>0,942</c:v>
                </c:pt>
                <c:pt idx="3271">
                  <c:v>0,777</c:v>
                </c:pt>
                <c:pt idx="3272">
                  <c:v>0,777</c:v>
                </c:pt>
                <c:pt idx="3273">
                  <c:v>0,28</c:v>
                </c:pt>
                <c:pt idx="3274">
                  <c:v>0,178</c:v>
                </c:pt>
                <c:pt idx="3275">
                  <c:v>0,099</c:v>
                </c:pt>
                <c:pt idx="3276">
                  <c:v>0,02</c:v>
                </c:pt>
                <c:pt idx="3277">
                  <c:v>0,107</c:v>
                </c:pt>
                <c:pt idx="3278">
                  <c:v>0,241</c:v>
                </c:pt>
                <c:pt idx="3279">
                  <c:v>0,298</c:v>
                </c:pt>
                <c:pt idx="3280">
                  <c:v>0,259</c:v>
                </c:pt>
                <c:pt idx="3281">
                  <c:v>0,153</c:v>
                </c:pt>
                <c:pt idx="3282">
                  <c:v>0,04</c:v>
                </c:pt>
                <c:pt idx="3283">
                  <c:v>0,104</c:v>
                </c:pt>
                <c:pt idx="3284">
                  <c:v>0,241</c:v>
                </c:pt>
                <c:pt idx="3285">
                  <c:v>0,293</c:v>
                </c:pt>
                <c:pt idx="3286">
                  <c:v>0,28</c:v>
                </c:pt>
              </c:strCache>
            </c:strRef>
          </c:xVal>
          <c:yVal>
            <c:numRef>
              <c:f>Hoja3!$C:$C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 formatCode="#,##0">
                  <c:v>1150</c:v>
                </c:pt>
                <c:pt idx="102" formatCode="#,##0">
                  <c:v>1150</c:v>
                </c:pt>
                <c:pt idx="103" formatCode="#,##0">
                  <c:v>1150</c:v>
                </c:pt>
                <c:pt idx="104" formatCode="#,##0">
                  <c:v>1150</c:v>
                </c:pt>
                <c:pt idx="105" formatCode="#,##0">
                  <c:v>1150</c:v>
                </c:pt>
                <c:pt idx="106" formatCode="#,##0">
                  <c:v>1150</c:v>
                </c:pt>
                <c:pt idx="107" formatCode="#,##0">
                  <c:v>1150</c:v>
                </c:pt>
                <c:pt idx="108" formatCode="#,##0">
                  <c:v>1150</c:v>
                </c:pt>
                <c:pt idx="109" formatCode="#,##0">
                  <c:v>1150</c:v>
                </c:pt>
                <c:pt idx="110" formatCode="#,##0">
                  <c:v>1150</c:v>
                </c:pt>
                <c:pt idx="111" formatCode="#,##0">
                  <c:v>1150</c:v>
                </c:pt>
                <c:pt idx="112" formatCode="#,##0">
                  <c:v>1150</c:v>
                </c:pt>
                <c:pt idx="113" formatCode="#,##0">
                  <c:v>1150</c:v>
                </c:pt>
                <c:pt idx="114" formatCode="#,##0">
                  <c:v>1150</c:v>
                </c:pt>
                <c:pt idx="115" formatCode="#,##0">
                  <c:v>1150</c:v>
                </c:pt>
                <c:pt idx="116" formatCode="#,##0">
                  <c:v>1150</c:v>
                </c:pt>
                <c:pt idx="117" formatCode="#,##0">
                  <c:v>1150</c:v>
                </c:pt>
                <c:pt idx="118" formatCode="#,##0">
                  <c:v>1150</c:v>
                </c:pt>
                <c:pt idx="119" formatCode="#,##0">
                  <c:v>1150</c:v>
                </c:pt>
                <c:pt idx="120" formatCode="#,##0">
                  <c:v>1150</c:v>
                </c:pt>
                <c:pt idx="121" formatCode="#,##0">
                  <c:v>1150</c:v>
                </c:pt>
                <c:pt idx="122" formatCode="#,##0">
                  <c:v>1150</c:v>
                </c:pt>
                <c:pt idx="123" formatCode="#,##0">
                  <c:v>1150</c:v>
                </c:pt>
                <c:pt idx="124" formatCode="#,##0">
                  <c:v>1150</c:v>
                </c:pt>
                <c:pt idx="125" formatCode="#,##0">
                  <c:v>1150</c:v>
                </c:pt>
                <c:pt idx="126" formatCode="#,##0">
                  <c:v>1150</c:v>
                </c:pt>
                <c:pt idx="127" formatCode="#,##0">
                  <c:v>1150</c:v>
                </c:pt>
                <c:pt idx="128" formatCode="#,##0">
                  <c:v>1150</c:v>
                </c:pt>
                <c:pt idx="129" formatCode="#,##0">
                  <c:v>1150</c:v>
                </c:pt>
                <c:pt idx="130" formatCode="#,##0">
                  <c:v>1150</c:v>
                </c:pt>
                <c:pt idx="131" formatCode="#,##0">
                  <c:v>1150</c:v>
                </c:pt>
                <c:pt idx="132" formatCode="#,##0">
                  <c:v>1150</c:v>
                </c:pt>
                <c:pt idx="133" formatCode="#,##0">
                  <c:v>1150</c:v>
                </c:pt>
                <c:pt idx="134" formatCode="#,##0">
                  <c:v>1150</c:v>
                </c:pt>
                <c:pt idx="135" formatCode="#,##0">
                  <c:v>1150</c:v>
                </c:pt>
                <c:pt idx="136" formatCode="#,##0">
                  <c:v>1150</c:v>
                </c:pt>
                <c:pt idx="137" formatCode="#,##0">
                  <c:v>1150</c:v>
                </c:pt>
                <c:pt idx="138" formatCode="#,##0">
                  <c:v>1950</c:v>
                </c:pt>
                <c:pt idx="139" formatCode="#,##0">
                  <c:v>1950</c:v>
                </c:pt>
                <c:pt idx="140" formatCode="#,##0">
                  <c:v>1950</c:v>
                </c:pt>
                <c:pt idx="141" formatCode="#,##0">
                  <c:v>1950</c:v>
                </c:pt>
                <c:pt idx="142" formatCode="#,##0">
                  <c:v>1950</c:v>
                </c:pt>
                <c:pt idx="143" formatCode="#,##0">
                  <c:v>1950</c:v>
                </c:pt>
                <c:pt idx="144" formatCode="#,##0">
                  <c:v>1950</c:v>
                </c:pt>
                <c:pt idx="145" formatCode="#,##0">
                  <c:v>1950</c:v>
                </c:pt>
                <c:pt idx="146" formatCode="#,##0">
                  <c:v>1950</c:v>
                </c:pt>
                <c:pt idx="147" formatCode="#,##0">
                  <c:v>1950</c:v>
                </c:pt>
                <c:pt idx="148" formatCode="#,##0">
                  <c:v>1950</c:v>
                </c:pt>
                <c:pt idx="149" formatCode="#,##0">
                  <c:v>1950</c:v>
                </c:pt>
                <c:pt idx="150" formatCode="#,##0">
                  <c:v>1950</c:v>
                </c:pt>
                <c:pt idx="151" formatCode="#,##0">
                  <c:v>1950</c:v>
                </c:pt>
                <c:pt idx="152" formatCode="#,##0">
                  <c:v>1950</c:v>
                </c:pt>
                <c:pt idx="153" formatCode="#,##0">
                  <c:v>1950</c:v>
                </c:pt>
                <c:pt idx="154" formatCode="#,##0">
                  <c:v>1950</c:v>
                </c:pt>
                <c:pt idx="155" formatCode="#,##0">
                  <c:v>1950</c:v>
                </c:pt>
                <c:pt idx="156" formatCode="#,##0">
                  <c:v>1950</c:v>
                </c:pt>
                <c:pt idx="157" formatCode="#,##0">
                  <c:v>1950</c:v>
                </c:pt>
                <c:pt idx="158" formatCode="#,##0">
                  <c:v>1950</c:v>
                </c:pt>
                <c:pt idx="159" formatCode="#,##0">
                  <c:v>1950</c:v>
                </c:pt>
                <c:pt idx="160" formatCode="#,##0">
                  <c:v>1950</c:v>
                </c:pt>
                <c:pt idx="161" formatCode="#,##0">
                  <c:v>1950</c:v>
                </c:pt>
                <c:pt idx="162" formatCode="#,##0">
                  <c:v>1950</c:v>
                </c:pt>
                <c:pt idx="163" formatCode="#,##0">
                  <c:v>1950</c:v>
                </c:pt>
                <c:pt idx="164" formatCode="#,##0">
                  <c:v>1950</c:v>
                </c:pt>
                <c:pt idx="165" formatCode="#,##0">
                  <c:v>1950</c:v>
                </c:pt>
                <c:pt idx="166" formatCode="#,##0">
                  <c:v>1950</c:v>
                </c:pt>
                <c:pt idx="167" formatCode="#,##0">
                  <c:v>1950</c:v>
                </c:pt>
                <c:pt idx="168" formatCode="#,##0">
                  <c:v>1950</c:v>
                </c:pt>
                <c:pt idx="169" formatCode="#,##0">
                  <c:v>1950</c:v>
                </c:pt>
                <c:pt idx="170" formatCode="#,##0">
                  <c:v>1950</c:v>
                </c:pt>
                <c:pt idx="171" formatCode="#,##0">
                  <c:v>1950</c:v>
                </c:pt>
                <c:pt idx="172" formatCode="#,##0">
                  <c:v>1950</c:v>
                </c:pt>
                <c:pt idx="173" formatCode="#,##0">
                  <c:v>2750</c:v>
                </c:pt>
                <c:pt idx="174" formatCode="#,##0">
                  <c:v>2750</c:v>
                </c:pt>
                <c:pt idx="175" formatCode="#,##0">
                  <c:v>2750</c:v>
                </c:pt>
                <c:pt idx="176" formatCode="#,##0">
                  <c:v>2750</c:v>
                </c:pt>
                <c:pt idx="177" formatCode="#,##0">
                  <c:v>2750</c:v>
                </c:pt>
                <c:pt idx="178" formatCode="#,##0">
                  <c:v>2750</c:v>
                </c:pt>
                <c:pt idx="179" formatCode="#,##0">
                  <c:v>2750</c:v>
                </c:pt>
                <c:pt idx="180" formatCode="#,##0">
                  <c:v>2750</c:v>
                </c:pt>
                <c:pt idx="181" formatCode="#,##0">
                  <c:v>2750</c:v>
                </c:pt>
                <c:pt idx="182" formatCode="#,##0">
                  <c:v>2750</c:v>
                </c:pt>
                <c:pt idx="183" formatCode="#,##0">
                  <c:v>2750</c:v>
                </c:pt>
                <c:pt idx="184" formatCode="#,##0">
                  <c:v>2750</c:v>
                </c:pt>
                <c:pt idx="185" formatCode="#,##0">
                  <c:v>2750</c:v>
                </c:pt>
                <c:pt idx="186" formatCode="#,##0">
                  <c:v>2750</c:v>
                </c:pt>
                <c:pt idx="187" formatCode="#,##0">
                  <c:v>2750</c:v>
                </c:pt>
                <c:pt idx="188" formatCode="#,##0">
                  <c:v>2750</c:v>
                </c:pt>
                <c:pt idx="189" formatCode="#,##0">
                  <c:v>2750</c:v>
                </c:pt>
                <c:pt idx="190" formatCode="#,##0">
                  <c:v>2750</c:v>
                </c:pt>
                <c:pt idx="191" formatCode="#,##0">
                  <c:v>2750</c:v>
                </c:pt>
                <c:pt idx="192" formatCode="#,##0">
                  <c:v>2750</c:v>
                </c:pt>
                <c:pt idx="193" formatCode="#,##0">
                  <c:v>2750</c:v>
                </c:pt>
                <c:pt idx="194" formatCode="#,##0">
                  <c:v>2750</c:v>
                </c:pt>
                <c:pt idx="195" formatCode="#,##0">
                  <c:v>2750</c:v>
                </c:pt>
                <c:pt idx="196" formatCode="#,##0">
                  <c:v>2750</c:v>
                </c:pt>
                <c:pt idx="197" formatCode="#,##0">
                  <c:v>2750</c:v>
                </c:pt>
                <c:pt idx="198" formatCode="#,##0">
                  <c:v>2750</c:v>
                </c:pt>
                <c:pt idx="199" formatCode="#,##0">
                  <c:v>2750</c:v>
                </c:pt>
                <c:pt idx="200" formatCode="#,##0">
                  <c:v>2750</c:v>
                </c:pt>
                <c:pt idx="201" formatCode="#,##0">
                  <c:v>2750</c:v>
                </c:pt>
                <c:pt idx="202" formatCode="#,##0">
                  <c:v>2750</c:v>
                </c:pt>
                <c:pt idx="203" formatCode="#,##0">
                  <c:v>2750</c:v>
                </c:pt>
                <c:pt idx="204" formatCode="#,##0">
                  <c:v>2750</c:v>
                </c:pt>
                <c:pt idx="205" formatCode="#,##0">
                  <c:v>2750</c:v>
                </c:pt>
                <c:pt idx="206" formatCode="#,##0">
                  <c:v>2750</c:v>
                </c:pt>
                <c:pt idx="207" formatCode="#,##0">
                  <c:v>2750</c:v>
                </c:pt>
                <c:pt idx="208" formatCode="#,##0">
                  <c:v>3550</c:v>
                </c:pt>
                <c:pt idx="209" formatCode="#,##0">
                  <c:v>3550</c:v>
                </c:pt>
                <c:pt idx="210" formatCode="#,##0">
                  <c:v>3550</c:v>
                </c:pt>
                <c:pt idx="211" formatCode="#,##0">
                  <c:v>3550</c:v>
                </c:pt>
                <c:pt idx="212" formatCode="#,##0">
                  <c:v>3550</c:v>
                </c:pt>
                <c:pt idx="213" formatCode="#,##0">
                  <c:v>3550</c:v>
                </c:pt>
                <c:pt idx="214" formatCode="#,##0">
                  <c:v>3550</c:v>
                </c:pt>
                <c:pt idx="215" formatCode="#,##0">
                  <c:v>3550</c:v>
                </c:pt>
                <c:pt idx="216" formatCode="#,##0">
                  <c:v>3550</c:v>
                </c:pt>
                <c:pt idx="217" formatCode="#,##0">
                  <c:v>3550</c:v>
                </c:pt>
                <c:pt idx="218" formatCode="#,##0">
                  <c:v>3550</c:v>
                </c:pt>
                <c:pt idx="219" formatCode="#,##0">
                  <c:v>3550</c:v>
                </c:pt>
                <c:pt idx="220" formatCode="#,##0">
                  <c:v>3550</c:v>
                </c:pt>
                <c:pt idx="221" formatCode="#,##0">
                  <c:v>3550</c:v>
                </c:pt>
                <c:pt idx="222" formatCode="#,##0">
                  <c:v>3550</c:v>
                </c:pt>
                <c:pt idx="223" formatCode="#,##0">
                  <c:v>3550</c:v>
                </c:pt>
                <c:pt idx="224" formatCode="#,##0">
                  <c:v>3550</c:v>
                </c:pt>
                <c:pt idx="225" formatCode="#,##0">
                  <c:v>3550</c:v>
                </c:pt>
                <c:pt idx="226" formatCode="#,##0">
                  <c:v>3550</c:v>
                </c:pt>
                <c:pt idx="227" formatCode="#,##0">
                  <c:v>3550</c:v>
                </c:pt>
                <c:pt idx="228" formatCode="#,##0">
                  <c:v>3550</c:v>
                </c:pt>
                <c:pt idx="229" formatCode="#,##0">
                  <c:v>3550</c:v>
                </c:pt>
                <c:pt idx="230" formatCode="#,##0">
                  <c:v>3550</c:v>
                </c:pt>
                <c:pt idx="231" formatCode="#,##0">
                  <c:v>3550</c:v>
                </c:pt>
                <c:pt idx="232" formatCode="#,##0">
                  <c:v>3550</c:v>
                </c:pt>
                <c:pt idx="233" formatCode="#,##0">
                  <c:v>3550</c:v>
                </c:pt>
                <c:pt idx="234" formatCode="#,##0">
                  <c:v>3550</c:v>
                </c:pt>
                <c:pt idx="235" formatCode="#,##0">
                  <c:v>3550</c:v>
                </c:pt>
                <c:pt idx="236" formatCode="#,##0">
                  <c:v>3550</c:v>
                </c:pt>
                <c:pt idx="237" formatCode="#,##0">
                  <c:v>3550</c:v>
                </c:pt>
                <c:pt idx="238" formatCode="#,##0">
                  <c:v>3550</c:v>
                </c:pt>
                <c:pt idx="239" formatCode="#,##0">
                  <c:v>3550</c:v>
                </c:pt>
                <c:pt idx="240" formatCode="#,##0">
                  <c:v>3550</c:v>
                </c:pt>
                <c:pt idx="241" formatCode="#,##0">
                  <c:v>3550</c:v>
                </c:pt>
                <c:pt idx="242" formatCode="#,##0">
                  <c:v>3550</c:v>
                </c:pt>
                <c:pt idx="243" formatCode="#,##0">
                  <c:v>4350</c:v>
                </c:pt>
                <c:pt idx="244" formatCode="#,##0">
                  <c:v>4350</c:v>
                </c:pt>
                <c:pt idx="245" formatCode="#,##0">
                  <c:v>4350</c:v>
                </c:pt>
                <c:pt idx="246" formatCode="#,##0">
                  <c:v>4350</c:v>
                </c:pt>
                <c:pt idx="247" formatCode="#,##0">
                  <c:v>4350</c:v>
                </c:pt>
                <c:pt idx="248" formatCode="#,##0">
                  <c:v>4350</c:v>
                </c:pt>
                <c:pt idx="249" formatCode="#,##0">
                  <c:v>4350</c:v>
                </c:pt>
                <c:pt idx="250" formatCode="#,##0">
                  <c:v>4350</c:v>
                </c:pt>
                <c:pt idx="251" formatCode="#,##0">
                  <c:v>4350</c:v>
                </c:pt>
                <c:pt idx="252" formatCode="#,##0">
                  <c:v>4350</c:v>
                </c:pt>
                <c:pt idx="253" formatCode="#,##0">
                  <c:v>4350</c:v>
                </c:pt>
                <c:pt idx="254" formatCode="#,##0">
                  <c:v>4350</c:v>
                </c:pt>
                <c:pt idx="255" formatCode="#,##0">
                  <c:v>4350</c:v>
                </c:pt>
                <c:pt idx="256" formatCode="#,##0">
                  <c:v>4350</c:v>
                </c:pt>
                <c:pt idx="257" formatCode="#,##0">
                  <c:v>4350</c:v>
                </c:pt>
                <c:pt idx="258" formatCode="#,##0">
                  <c:v>4350</c:v>
                </c:pt>
                <c:pt idx="259" formatCode="#,##0">
                  <c:v>4350</c:v>
                </c:pt>
                <c:pt idx="260" formatCode="#,##0">
                  <c:v>4350</c:v>
                </c:pt>
                <c:pt idx="261" formatCode="#,##0">
                  <c:v>4350</c:v>
                </c:pt>
                <c:pt idx="262" formatCode="#,##0">
                  <c:v>4350</c:v>
                </c:pt>
                <c:pt idx="263" formatCode="#,##0">
                  <c:v>4350</c:v>
                </c:pt>
                <c:pt idx="264" formatCode="#,##0">
                  <c:v>4350</c:v>
                </c:pt>
                <c:pt idx="265" formatCode="#,##0">
                  <c:v>4350</c:v>
                </c:pt>
                <c:pt idx="266" formatCode="#,##0">
                  <c:v>4350</c:v>
                </c:pt>
                <c:pt idx="267" formatCode="#,##0">
                  <c:v>4350</c:v>
                </c:pt>
                <c:pt idx="268" formatCode="#,##0">
                  <c:v>4350</c:v>
                </c:pt>
                <c:pt idx="269" formatCode="#,##0">
                  <c:v>4350</c:v>
                </c:pt>
                <c:pt idx="270" formatCode="#,##0">
                  <c:v>4350</c:v>
                </c:pt>
                <c:pt idx="271" formatCode="#,##0">
                  <c:v>4350</c:v>
                </c:pt>
                <c:pt idx="272" formatCode="#,##0">
                  <c:v>4350</c:v>
                </c:pt>
                <c:pt idx="273" formatCode="#,##0">
                  <c:v>4350</c:v>
                </c:pt>
                <c:pt idx="274" formatCode="#,##0">
                  <c:v>4350</c:v>
                </c:pt>
                <c:pt idx="275" formatCode="#,##0">
                  <c:v>4350</c:v>
                </c:pt>
                <c:pt idx="276" formatCode="#,##0">
                  <c:v>4350</c:v>
                </c:pt>
                <c:pt idx="277" formatCode="#,##0">
                  <c:v>4350</c:v>
                </c:pt>
                <c:pt idx="278" formatCode="#,##0">
                  <c:v>4350</c:v>
                </c:pt>
                <c:pt idx="279" formatCode="#,##0">
                  <c:v>5150</c:v>
                </c:pt>
                <c:pt idx="280" formatCode="#,##0">
                  <c:v>5150</c:v>
                </c:pt>
                <c:pt idx="281" formatCode="#,##0">
                  <c:v>5150</c:v>
                </c:pt>
                <c:pt idx="282" formatCode="#,##0">
                  <c:v>5150</c:v>
                </c:pt>
                <c:pt idx="283" formatCode="#,##0">
                  <c:v>5150</c:v>
                </c:pt>
                <c:pt idx="284" formatCode="#,##0">
                  <c:v>5150</c:v>
                </c:pt>
                <c:pt idx="285" formatCode="#,##0">
                  <c:v>5150</c:v>
                </c:pt>
                <c:pt idx="286" formatCode="#,##0">
                  <c:v>5150</c:v>
                </c:pt>
                <c:pt idx="287" formatCode="#,##0">
                  <c:v>5150</c:v>
                </c:pt>
                <c:pt idx="288" formatCode="#,##0">
                  <c:v>5150</c:v>
                </c:pt>
                <c:pt idx="289" formatCode="#,##0">
                  <c:v>5150</c:v>
                </c:pt>
                <c:pt idx="290" formatCode="#,##0">
                  <c:v>5150</c:v>
                </c:pt>
                <c:pt idx="291" formatCode="#,##0">
                  <c:v>5150</c:v>
                </c:pt>
                <c:pt idx="292" formatCode="#,##0">
                  <c:v>5150</c:v>
                </c:pt>
                <c:pt idx="293" formatCode="#,##0">
                  <c:v>5150</c:v>
                </c:pt>
                <c:pt idx="294" formatCode="#,##0">
                  <c:v>5150</c:v>
                </c:pt>
                <c:pt idx="295" formatCode="#,##0">
                  <c:v>5150</c:v>
                </c:pt>
                <c:pt idx="296" formatCode="#,##0">
                  <c:v>5150</c:v>
                </c:pt>
                <c:pt idx="297" formatCode="#,##0">
                  <c:v>5150</c:v>
                </c:pt>
                <c:pt idx="298" formatCode="#,##0">
                  <c:v>5150</c:v>
                </c:pt>
                <c:pt idx="299" formatCode="#,##0">
                  <c:v>5150</c:v>
                </c:pt>
                <c:pt idx="300" formatCode="#,##0">
                  <c:v>5150</c:v>
                </c:pt>
                <c:pt idx="301" formatCode="#,##0">
                  <c:v>5150</c:v>
                </c:pt>
                <c:pt idx="302" formatCode="#,##0">
                  <c:v>5150</c:v>
                </c:pt>
                <c:pt idx="303" formatCode="#,##0">
                  <c:v>5150</c:v>
                </c:pt>
                <c:pt idx="304" formatCode="#,##0">
                  <c:v>5150</c:v>
                </c:pt>
                <c:pt idx="305" formatCode="#,##0">
                  <c:v>5150</c:v>
                </c:pt>
                <c:pt idx="306" formatCode="#,##0">
                  <c:v>5150</c:v>
                </c:pt>
                <c:pt idx="307" formatCode="#,##0">
                  <c:v>5150</c:v>
                </c:pt>
                <c:pt idx="308" formatCode="#,##0">
                  <c:v>5150</c:v>
                </c:pt>
                <c:pt idx="309" formatCode="#,##0">
                  <c:v>5150</c:v>
                </c:pt>
                <c:pt idx="310" formatCode="#,##0">
                  <c:v>5150</c:v>
                </c:pt>
                <c:pt idx="311" formatCode="#,##0">
                  <c:v>5150</c:v>
                </c:pt>
                <c:pt idx="312" formatCode="#,##0">
                  <c:v>5150</c:v>
                </c:pt>
                <c:pt idx="313" formatCode="#,##0">
                  <c:v>5150</c:v>
                </c:pt>
                <c:pt idx="314">
                  <c:v>0.65</c:v>
                </c:pt>
                <c:pt idx="315">
                  <c:v>0.65</c:v>
                </c:pt>
                <c:pt idx="316">
                  <c:v>0.65</c:v>
                </c:pt>
                <c:pt idx="317">
                  <c:v>0.65</c:v>
                </c:pt>
                <c:pt idx="318">
                  <c:v>0.65</c:v>
                </c:pt>
                <c:pt idx="319">
                  <c:v>0.65</c:v>
                </c:pt>
                <c:pt idx="320">
                  <c:v>0.65</c:v>
                </c:pt>
                <c:pt idx="321">
                  <c:v>0.65</c:v>
                </c:pt>
                <c:pt idx="322">
                  <c:v>0.65</c:v>
                </c:pt>
                <c:pt idx="323">
                  <c:v>0.65</c:v>
                </c:pt>
                <c:pt idx="324">
                  <c:v>0.65</c:v>
                </c:pt>
                <c:pt idx="325">
                  <c:v>0.65</c:v>
                </c:pt>
                <c:pt idx="326">
                  <c:v>0.65</c:v>
                </c:pt>
                <c:pt idx="327">
                  <c:v>0.65</c:v>
                </c:pt>
                <c:pt idx="328">
                  <c:v>0.65</c:v>
                </c:pt>
                <c:pt idx="329">
                  <c:v>0.65</c:v>
                </c:pt>
                <c:pt idx="330">
                  <c:v>0.65</c:v>
                </c:pt>
                <c:pt idx="331">
                  <c:v>0.65</c:v>
                </c:pt>
                <c:pt idx="332">
                  <c:v>0.65</c:v>
                </c:pt>
                <c:pt idx="333">
                  <c:v>0.65</c:v>
                </c:pt>
                <c:pt idx="334">
                  <c:v>0.65</c:v>
                </c:pt>
                <c:pt idx="335">
                  <c:v>0.65</c:v>
                </c:pt>
                <c:pt idx="336">
                  <c:v>0.65</c:v>
                </c:pt>
                <c:pt idx="337">
                  <c:v>0.65</c:v>
                </c:pt>
                <c:pt idx="338">
                  <c:v>0.65</c:v>
                </c:pt>
                <c:pt idx="339">
                  <c:v>0.65</c:v>
                </c:pt>
                <c:pt idx="340">
                  <c:v>0.65</c:v>
                </c:pt>
                <c:pt idx="341">
                  <c:v>0.65</c:v>
                </c:pt>
                <c:pt idx="342">
                  <c:v>0.65</c:v>
                </c:pt>
                <c:pt idx="343">
                  <c:v>0.65</c:v>
                </c:pt>
                <c:pt idx="344">
                  <c:v>0.65</c:v>
                </c:pt>
                <c:pt idx="345">
                  <c:v>0.65</c:v>
                </c:pt>
                <c:pt idx="346">
                  <c:v>0.65</c:v>
                </c:pt>
                <c:pt idx="347">
                  <c:v>0.65</c:v>
                </c:pt>
                <c:pt idx="348">
                  <c:v>0.65</c:v>
                </c:pt>
                <c:pt idx="349">
                  <c:v>0.65</c:v>
                </c:pt>
                <c:pt idx="350">
                  <c:v>0.65</c:v>
                </c:pt>
                <c:pt idx="351">
                  <c:v>0.65</c:v>
                </c:pt>
                <c:pt idx="352">
                  <c:v>0.65</c:v>
                </c:pt>
                <c:pt idx="353">
                  <c:v>0.65</c:v>
                </c:pt>
                <c:pt idx="354">
                  <c:v>0.65</c:v>
                </c:pt>
                <c:pt idx="355">
                  <c:v>0.65</c:v>
                </c:pt>
                <c:pt idx="356">
                  <c:v>0.65</c:v>
                </c:pt>
                <c:pt idx="357">
                  <c:v>0.65</c:v>
                </c:pt>
                <c:pt idx="358">
                  <c:v>0.65</c:v>
                </c:pt>
                <c:pt idx="359">
                  <c:v>0.65</c:v>
                </c:pt>
                <c:pt idx="360">
                  <c:v>0.65</c:v>
                </c:pt>
                <c:pt idx="361">
                  <c:v>0.65</c:v>
                </c:pt>
                <c:pt idx="362">
                  <c:v>0.65</c:v>
                </c:pt>
                <c:pt idx="363">
                  <c:v>0.65</c:v>
                </c:pt>
                <c:pt idx="364">
                  <c:v>0.65</c:v>
                </c:pt>
                <c:pt idx="365">
                  <c:v>0.65</c:v>
                </c:pt>
                <c:pt idx="366">
                  <c:v>0.65</c:v>
                </c:pt>
                <c:pt idx="367">
                  <c:v>0.65</c:v>
                </c:pt>
                <c:pt idx="368">
                  <c:v>0.65</c:v>
                </c:pt>
                <c:pt idx="369">
                  <c:v>0.65</c:v>
                </c:pt>
                <c:pt idx="370">
                  <c:v>0.65</c:v>
                </c:pt>
                <c:pt idx="371">
                  <c:v>0.65</c:v>
                </c:pt>
                <c:pt idx="372">
                  <c:v>0.65</c:v>
                </c:pt>
                <c:pt idx="373">
                  <c:v>0.65</c:v>
                </c:pt>
                <c:pt idx="374">
                  <c:v>0.65</c:v>
                </c:pt>
                <c:pt idx="375">
                  <c:v>0.65</c:v>
                </c:pt>
                <c:pt idx="376">
                  <c:v>0.95</c:v>
                </c:pt>
                <c:pt idx="377">
                  <c:v>0.95</c:v>
                </c:pt>
                <c:pt idx="378">
                  <c:v>0.95</c:v>
                </c:pt>
                <c:pt idx="379">
                  <c:v>0.95</c:v>
                </c:pt>
                <c:pt idx="380">
                  <c:v>0.95</c:v>
                </c:pt>
                <c:pt idx="381">
                  <c:v>0.95</c:v>
                </c:pt>
                <c:pt idx="382">
                  <c:v>0.95</c:v>
                </c:pt>
                <c:pt idx="383">
                  <c:v>0.95</c:v>
                </c:pt>
                <c:pt idx="384">
                  <c:v>0.95</c:v>
                </c:pt>
                <c:pt idx="385">
                  <c:v>0.95</c:v>
                </c:pt>
                <c:pt idx="386">
                  <c:v>0.95</c:v>
                </c:pt>
                <c:pt idx="387">
                  <c:v>0.95</c:v>
                </c:pt>
                <c:pt idx="388">
                  <c:v>0.95</c:v>
                </c:pt>
                <c:pt idx="389">
                  <c:v>0.95</c:v>
                </c:pt>
                <c:pt idx="390">
                  <c:v>0.95</c:v>
                </c:pt>
                <c:pt idx="391">
                  <c:v>0.95</c:v>
                </c:pt>
                <c:pt idx="392">
                  <c:v>0.95</c:v>
                </c:pt>
                <c:pt idx="393">
                  <c:v>0.95</c:v>
                </c:pt>
                <c:pt idx="394">
                  <c:v>0.95</c:v>
                </c:pt>
                <c:pt idx="395">
                  <c:v>0.95</c:v>
                </c:pt>
                <c:pt idx="396">
                  <c:v>0.95</c:v>
                </c:pt>
                <c:pt idx="397">
                  <c:v>0.95</c:v>
                </c:pt>
                <c:pt idx="398">
                  <c:v>0.95</c:v>
                </c:pt>
                <c:pt idx="399">
                  <c:v>0.95</c:v>
                </c:pt>
                <c:pt idx="400">
                  <c:v>0.95</c:v>
                </c:pt>
                <c:pt idx="401">
                  <c:v>0.95</c:v>
                </c:pt>
                <c:pt idx="402">
                  <c:v>0.95</c:v>
                </c:pt>
                <c:pt idx="403">
                  <c:v>0.95</c:v>
                </c:pt>
                <c:pt idx="404">
                  <c:v>0.95</c:v>
                </c:pt>
                <c:pt idx="405">
                  <c:v>0.95</c:v>
                </c:pt>
                <c:pt idx="406">
                  <c:v>0.95</c:v>
                </c:pt>
                <c:pt idx="407">
                  <c:v>0.95</c:v>
                </c:pt>
                <c:pt idx="408">
                  <c:v>0.95</c:v>
                </c:pt>
                <c:pt idx="409">
                  <c:v>0.95</c:v>
                </c:pt>
                <c:pt idx="410">
                  <c:v>0.95</c:v>
                </c:pt>
                <c:pt idx="411">
                  <c:v>0.95</c:v>
                </c:pt>
                <c:pt idx="412">
                  <c:v>0.95</c:v>
                </c:pt>
                <c:pt idx="413">
                  <c:v>0.95</c:v>
                </c:pt>
                <c:pt idx="414">
                  <c:v>0.95</c:v>
                </c:pt>
                <c:pt idx="415">
                  <c:v>0.95</c:v>
                </c:pt>
                <c:pt idx="416">
                  <c:v>0.95</c:v>
                </c:pt>
                <c:pt idx="417">
                  <c:v>0.95</c:v>
                </c:pt>
                <c:pt idx="418">
                  <c:v>0.95</c:v>
                </c:pt>
                <c:pt idx="419">
                  <c:v>0.95</c:v>
                </c:pt>
                <c:pt idx="420">
                  <c:v>0.95</c:v>
                </c:pt>
                <c:pt idx="421">
                  <c:v>0.95</c:v>
                </c:pt>
                <c:pt idx="422">
                  <c:v>0.95</c:v>
                </c:pt>
                <c:pt idx="423">
                  <c:v>0.95</c:v>
                </c:pt>
                <c:pt idx="424">
                  <c:v>0.95</c:v>
                </c:pt>
                <c:pt idx="425">
                  <c:v>0.95</c:v>
                </c:pt>
                <c:pt idx="426">
                  <c:v>0.95</c:v>
                </c:pt>
                <c:pt idx="427">
                  <c:v>0.95</c:v>
                </c:pt>
                <c:pt idx="428">
                  <c:v>0.95</c:v>
                </c:pt>
                <c:pt idx="429">
                  <c:v>0.95</c:v>
                </c:pt>
                <c:pt idx="430">
                  <c:v>0.95</c:v>
                </c:pt>
                <c:pt idx="431">
                  <c:v>0.95</c:v>
                </c:pt>
                <c:pt idx="432">
                  <c:v>0.95</c:v>
                </c:pt>
                <c:pt idx="433">
                  <c:v>0.95</c:v>
                </c:pt>
                <c:pt idx="434">
                  <c:v>0.95</c:v>
                </c:pt>
                <c:pt idx="435">
                  <c:v>0.95</c:v>
                </c:pt>
                <c:pt idx="436">
                  <c:v>0.95</c:v>
                </c:pt>
                <c:pt idx="437">
                  <c:v>0.95</c:v>
                </c:pt>
                <c:pt idx="438">
                  <c:v>0.95</c:v>
                </c:pt>
                <c:pt idx="439">
                  <c:v>0.95</c:v>
                </c:pt>
                <c:pt idx="440">
                  <c:v>0.95</c:v>
                </c:pt>
                <c:pt idx="441">
                  <c:v>0.95</c:v>
                </c:pt>
                <c:pt idx="442">
                  <c:v>0.95</c:v>
                </c:pt>
                <c:pt idx="443">
                  <c:v>0.95</c:v>
                </c:pt>
                <c:pt idx="444">
                  <c:v>0.95</c:v>
                </c:pt>
                <c:pt idx="445">
                  <c:v>0.95</c:v>
                </c:pt>
                <c:pt idx="446">
                  <c:v>0.95</c:v>
                </c:pt>
                <c:pt idx="447">
                  <c:v>0.95</c:v>
                </c:pt>
                <c:pt idx="448">
                  <c:v>0.95</c:v>
                </c:pt>
                <c:pt idx="449">
                  <c:v>0.95</c:v>
                </c:pt>
                <c:pt idx="450">
                  <c:v>0.95</c:v>
                </c:pt>
                <c:pt idx="451">
                  <c:v>0.95</c:v>
                </c:pt>
                <c:pt idx="452">
                  <c:v>0.95</c:v>
                </c:pt>
                <c:pt idx="453">
                  <c:v>0.95</c:v>
                </c:pt>
                <c:pt idx="454">
                  <c:v>0.95</c:v>
                </c:pt>
                <c:pt idx="455">
                  <c:v>0.95</c:v>
                </c:pt>
                <c:pt idx="456">
                  <c:v>0.95</c:v>
                </c:pt>
                <c:pt idx="457">
                  <c:v>0.95</c:v>
                </c:pt>
                <c:pt idx="458">
                  <c:v>0.95</c:v>
                </c:pt>
                <c:pt idx="459">
                  <c:v>0.95</c:v>
                </c:pt>
                <c:pt idx="460">
                  <c:v>0.95</c:v>
                </c:pt>
                <c:pt idx="461">
                  <c:v>0.95</c:v>
                </c:pt>
                <c:pt idx="462">
                  <c:v>0.95</c:v>
                </c:pt>
                <c:pt idx="463">
                  <c:v>0.95</c:v>
                </c:pt>
                <c:pt idx="464">
                  <c:v>0.95</c:v>
                </c:pt>
                <c:pt idx="465">
                  <c:v>0.95</c:v>
                </c:pt>
                <c:pt idx="466">
                  <c:v>0.95</c:v>
                </c:pt>
                <c:pt idx="467">
                  <c:v>0.95</c:v>
                </c:pt>
                <c:pt idx="468">
                  <c:v>0.95</c:v>
                </c:pt>
                <c:pt idx="469">
                  <c:v>0.95</c:v>
                </c:pt>
                <c:pt idx="470">
                  <c:v>0.95</c:v>
                </c:pt>
                <c:pt idx="471">
                  <c:v>0.95</c:v>
                </c:pt>
                <c:pt idx="472">
                  <c:v>0.95</c:v>
                </c:pt>
                <c:pt idx="473">
                  <c:v>0.95</c:v>
                </c:pt>
                <c:pt idx="474">
                  <c:v>0.95</c:v>
                </c:pt>
                <c:pt idx="475">
                  <c:v>0.95</c:v>
                </c:pt>
                <c:pt idx="476">
                  <c:v>0.95</c:v>
                </c:pt>
                <c:pt idx="477">
                  <c:v>0.95</c:v>
                </c:pt>
                <c:pt idx="478">
                  <c:v>0.95</c:v>
                </c:pt>
                <c:pt idx="479">
                  <c:v>0.95</c:v>
                </c:pt>
                <c:pt idx="480">
                  <c:v>0.95</c:v>
                </c:pt>
                <c:pt idx="481">
                  <c:v>0.95</c:v>
                </c:pt>
                <c:pt idx="482">
                  <c:v>0.95</c:v>
                </c:pt>
                <c:pt idx="483">
                  <c:v>0.95</c:v>
                </c:pt>
                <c:pt idx="484">
                  <c:v>0.95</c:v>
                </c:pt>
                <c:pt idx="485">
                  <c:v>0.95</c:v>
                </c:pt>
                <c:pt idx="486">
                  <c:v>0.95</c:v>
                </c:pt>
                <c:pt idx="487">
                  <c:v>0.95</c:v>
                </c:pt>
                <c:pt idx="488">
                  <c:v>0.95</c:v>
                </c:pt>
                <c:pt idx="489">
                  <c:v>0.95</c:v>
                </c:pt>
                <c:pt idx="490">
                  <c:v>0.95</c:v>
                </c:pt>
                <c:pt idx="491">
                  <c:v>0.95</c:v>
                </c:pt>
                <c:pt idx="492">
                  <c:v>0.95</c:v>
                </c:pt>
                <c:pt idx="493">
                  <c:v>0.95</c:v>
                </c:pt>
                <c:pt idx="494">
                  <c:v>0.95</c:v>
                </c:pt>
                <c:pt idx="495">
                  <c:v>0.95</c:v>
                </c:pt>
                <c:pt idx="496">
                  <c:v>0.95</c:v>
                </c:pt>
                <c:pt idx="497">
                  <c:v>0.95</c:v>
                </c:pt>
                <c:pt idx="498">
                  <c:v>0.95</c:v>
                </c:pt>
                <c:pt idx="499">
                  <c:v>0.95</c:v>
                </c:pt>
                <c:pt idx="500">
                  <c:v>0.95</c:v>
                </c:pt>
                <c:pt idx="501">
                  <c:v>0.95</c:v>
                </c:pt>
                <c:pt idx="502">
                  <c:v>0.95</c:v>
                </c:pt>
                <c:pt idx="503">
                  <c:v>0.95</c:v>
                </c:pt>
                <c:pt idx="504">
                  <c:v>0.95</c:v>
                </c:pt>
                <c:pt idx="505">
                  <c:v>0.95</c:v>
                </c:pt>
                <c:pt idx="506">
                  <c:v>0.95</c:v>
                </c:pt>
                <c:pt idx="507">
                  <c:v>0.95</c:v>
                </c:pt>
                <c:pt idx="508">
                  <c:v>0.95</c:v>
                </c:pt>
                <c:pt idx="509">
                  <c:v>0.95</c:v>
                </c:pt>
                <c:pt idx="510">
                  <c:v>0.95</c:v>
                </c:pt>
                <c:pt idx="511">
                  <c:v>0.95</c:v>
                </c:pt>
                <c:pt idx="512">
                  <c:v>0.95</c:v>
                </c:pt>
                <c:pt idx="513">
                  <c:v>0.95</c:v>
                </c:pt>
                <c:pt idx="514">
                  <c:v>0.95</c:v>
                </c:pt>
                <c:pt idx="515">
                  <c:v>0.95</c:v>
                </c:pt>
                <c:pt idx="516">
                  <c:v>0.95</c:v>
                </c:pt>
                <c:pt idx="517">
                  <c:v>0.95</c:v>
                </c:pt>
                <c:pt idx="518">
                  <c:v>0.95</c:v>
                </c:pt>
                <c:pt idx="519">
                  <c:v>0.95</c:v>
                </c:pt>
                <c:pt idx="520">
                  <c:v>0.95</c:v>
                </c:pt>
                <c:pt idx="521">
                  <c:v>0.95</c:v>
                </c:pt>
                <c:pt idx="522">
                  <c:v>0.95</c:v>
                </c:pt>
                <c:pt idx="523">
                  <c:v>0.95</c:v>
                </c:pt>
                <c:pt idx="524">
                  <c:v>0.95</c:v>
                </c:pt>
                <c:pt idx="525">
                  <c:v>0.95</c:v>
                </c:pt>
                <c:pt idx="526">
                  <c:v>0.95</c:v>
                </c:pt>
                <c:pt idx="527">
                  <c:v>0.95</c:v>
                </c:pt>
                <c:pt idx="528">
                  <c:v>0.95</c:v>
                </c:pt>
                <c:pt idx="529">
                  <c:v>0.95</c:v>
                </c:pt>
                <c:pt idx="530">
                  <c:v>0.95</c:v>
                </c:pt>
                <c:pt idx="531">
                  <c:v>0.95</c:v>
                </c:pt>
                <c:pt idx="532">
                  <c:v>0.95</c:v>
                </c:pt>
                <c:pt idx="533">
                  <c:v>0.95</c:v>
                </c:pt>
                <c:pt idx="534">
                  <c:v>0.95</c:v>
                </c:pt>
                <c:pt idx="535">
                  <c:v>0.95</c:v>
                </c:pt>
                <c:pt idx="536">
                  <c:v>0.95</c:v>
                </c:pt>
                <c:pt idx="537">
                  <c:v>0.95</c:v>
                </c:pt>
                <c:pt idx="538">
                  <c:v>0.95</c:v>
                </c:pt>
                <c:pt idx="539">
                  <c:v>0.95</c:v>
                </c:pt>
                <c:pt idx="540">
                  <c:v>0.95</c:v>
                </c:pt>
                <c:pt idx="541">
                  <c:v>0.95</c:v>
                </c:pt>
                <c:pt idx="542">
                  <c:v>0.95</c:v>
                </c:pt>
                <c:pt idx="543">
                  <c:v>0.95</c:v>
                </c:pt>
                <c:pt idx="544" formatCode="#,##0">
                  <c:v>1250</c:v>
                </c:pt>
                <c:pt idx="545" formatCode="#,##0">
                  <c:v>1250</c:v>
                </c:pt>
                <c:pt idx="546" formatCode="#,##0">
                  <c:v>1250</c:v>
                </c:pt>
                <c:pt idx="547" formatCode="#,##0">
                  <c:v>1250</c:v>
                </c:pt>
                <c:pt idx="548" formatCode="#,##0">
                  <c:v>1250</c:v>
                </c:pt>
                <c:pt idx="549" formatCode="#,##0">
                  <c:v>1250</c:v>
                </c:pt>
                <c:pt idx="550" formatCode="#,##0">
                  <c:v>1250</c:v>
                </c:pt>
                <c:pt idx="551" formatCode="#,##0">
                  <c:v>1250</c:v>
                </c:pt>
                <c:pt idx="552" formatCode="#,##0">
                  <c:v>1250</c:v>
                </c:pt>
                <c:pt idx="553" formatCode="#,##0">
                  <c:v>1250</c:v>
                </c:pt>
                <c:pt idx="554" formatCode="#,##0">
                  <c:v>1250</c:v>
                </c:pt>
                <c:pt idx="555" formatCode="#,##0">
                  <c:v>1250</c:v>
                </c:pt>
                <c:pt idx="556" formatCode="#,##0">
                  <c:v>1250</c:v>
                </c:pt>
                <c:pt idx="557" formatCode="#,##0">
                  <c:v>1250</c:v>
                </c:pt>
                <c:pt idx="558" formatCode="#,##0">
                  <c:v>1250</c:v>
                </c:pt>
                <c:pt idx="559" formatCode="#,##0">
                  <c:v>1250</c:v>
                </c:pt>
                <c:pt idx="560" formatCode="#,##0">
                  <c:v>1250</c:v>
                </c:pt>
                <c:pt idx="561" formatCode="#,##0">
                  <c:v>1250</c:v>
                </c:pt>
                <c:pt idx="562" formatCode="#,##0">
                  <c:v>1250</c:v>
                </c:pt>
                <c:pt idx="563" formatCode="#,##0">
                  <c:v>1250</c:v>
                </c:pt>
                <c:pt idx="564" formatCode="#,##0">
                  <c:v>1250</c:v>
                </c:pt>
                <c:pt idx="565" formatCode="#,##0">
                  <c:v>1250</c:v>
                </c:pt>
                <c:pt idx="566" formatCode="#,##0">
                  <c:v>1250</c:v>
                </c:pt>
                <c:pt idx="567" formatCode="#,##0">
                  <c:v>1250</c:v>
                </c:pt>
                <c:pt idx="568" formatCode="#,##0">
                  <c:v>1250</c:v>
                </c:pt>
                <c:pt idx="569" formatCode="#,##0">
                  <c:v>1250</c:v>
                </c:pt>
                <c:pt idx="570" formatCode="#,##0">
                  <c:v>1250</c:v>
                </c:pt>
                <c:pt idx="571" formatCode="#,##0">
                  <c:v>1250</c:v>
                </c:pt>
                <c:pt idx="572" formatCode="#,##0">
                  <c:v>1250</c:v>
                </c:pt>
                <c:pt idx="573" formatCode="#,##0">
                  <c:v>1250</c:v>
                </c:pt>
                <c:pt idx="574" formatCode="#,##0">
                  <c:v>1250</c:v>
                </c:pt>
                <c:pt idx="575" formatCode="#,##0">
                  <c:v>1250</c:v>
                </c:pt>
                <c:pt idx="576" formatCode="#,##0">
                  <c:v>1250</c:v>
                </c:pt>
                <c:pt idx="577" formatCode="#,##0">
                  <c:v>1250</c:v>
                </c:pt>
                <c:pt idx="578" formatCode="#,##0">
                  <c:v>1250</c:v>
                </c:pt>
                <c:pt idx="579" formatCode="#,##0">
                  <c:v>1250</c:v>
                </c:pt>
                <c:pt idx="580" formatCode="#,##0">
                  <c:v>1250</c:v>
                </c:pt>
                <c:pt idx="581" formatCode="#,##0">
                  <c:v>1250</c:v>
                </c:pt>
                <c:pt idx="582" formatCode="#,##0">
                  <c:v>1250</c:v>
                </c:pt>
                <c:pt idx="583" formatCode="#,##0">
                  <c:v>1250</c:v>
                </c:pt>
                <c:pt idx="584" formatCode="#,##0">
                  <c:v>1250</c:v>
                </c:pt>
                <c:pt idx="585" formatCode="#,##0">
                  <c:v>1250</c:v>
                </c:pt>
                <c:pt idx="586" formatCode="#,##0">
                  <c:v>1250</c:v>
                </c:pt>
                <c:pt idx="587" formatCode="#,##0">
                  <c:v>1250</c:v>
                </c:pt>
                <c:pt idx="588" formatCode="#,##0">
                  <c:v>1250</c:v>
                </c:pt>
                <c:pt idx="589" formatCode="#,##0">
                  <c:v>1250</c:v>
                </c:pt>
                <c:pt idx="590" formatCode="#,##0">
                  <c:v>1250</c:v>
                </c:pt>
                <c:pt idx="591" formatCode="#,##0">
                  <c:v>1250</c:v>
                </c:pt>
                <c:pt idx="592" formatCode="#,##0">
                  <c:v>1250</c:v>
                </c:pt>
                <c:pt idx="593" formatCode="#,##0">
                  <c:v>1250</c:v>
                </c:pt>
                <c:pt idx="594" formatCode="#,##0">
                  <c:v>1250</c:v>
                </c:pt>
                <c:pt idx="595" formatCode="#,##0">
                  <c:v>1250</c:v>
                </c:pt>
                <c:pt idx="596" formatCode="#,##0">
                  <c:v>1250</c:v>
                </c:pt>
                <c:pt idx="597" formatCode="#,##0">
                  <c:v>1250</c:v>
                </c:pt>
                <c:pt idx="598" formatCode="#,##0">
                  <c:v>1250</c:v>
                </c:pt>
                <c:pt idx="599" formatCode="#,##0">
                  <c:v>1250</c:v>
                </c:pt>
                <c:pt idx="600" formatCode="#,##0">
                  <c:v>1250</c:v>
                </c:pt>
                <c:pt idx="601" formatCode="#,##0">
                  <c:v>1250</c:v>
                </c:pt>
                <c:pt idx="602" formatCode="#,##0">
                  <c:v>1250</c:v>
                </c:pt>
                <c:pt idx="603" formatCode="#,##0">
                  <c:v>1250</c:v>
                </c:pt>
                <c:pt idx="604" formatCode="#,##0">
                  <c:v>1250</c:v>
                </c:pt>
                <c:pt idx="605" formatCode="#,##0">
                  <c:v>1250</c:v>
                </c:pt>
                <c:pt idx="606" formatCode="#,##0">
                  <c:v>1250</c:v>
                </c:pt>
                <c:pt idx="607" formatCode="#,##0">
                  <c:v>1250</c:v>
                </c:pt>
                <c:pt idx="608" formatCode="#,##0">
                  <c:v>1250</c:v>
                </c:pt>
                <c:pt idx="609" formatCode="#,##0">
                  <c:v>1250</c:v>
                </c:pt>
                <c:pt idx="610" formatCode="#,##0">
                  <c:v>1250</c:v>
                </c:pt>
                <c:pt idx="611" formatCode="#,##0">
                  <c:v>1250</c:v>
                </c:pt>
                <c:pt idx="612" formatCode="#,##0">
                  <c:v>1250</c:v>
                </c:pt>
                <c:pt idx="613" formatCode="#,##0">
                  <c:v>1250</c:v>
                </c:pt>
                <c:pt idx="614" formatCode="#,##0">
                  <c:v>1250</c:v>
                </c:pt>
                <c:pt idx="615" formatCode="#,##0">
                  <c:v>1250</c:v>
                </c:pt>
                <c:pt idx="616" formatCode="#,##0">
                  <c:v>1250</c:v>
                </c:pt>
                <c:pt idx="617" formatCode="#,##0">
                  <c:v>1250</c:v>
                </c:pt>
                <c:pt idx="618" formatCode="#,##0">
                  <c:v>1250</c:v>
                </c:pt>
                <c:pt idx="619" formatCode="#,##0">
                  <c:v>1250</c:v>
                </c:pt>
                <c:pt idx="620" formatCode="#,##0">
                  <c:v>1250</c:v>
                </c:pt>
                <c:pt idx="621" formatCode="#,##0">
                  <c:v>1250</c:v>
                </c:pt>
                <c:pt idx="622" formatCode="#,##0">
                  <c:v>1250</c:v>
                </c:pt>
                <c:pt idx="623" formatCode="#,##0">
                  <c:v>1250</c:v>
                </c:pt>
                <c:pt idx="624" formatCode="#,##0">
                  <c:v>1250</c:v>
                </c:pt>
                <c:pt idx="625" formatCode="#,##0">
                  <c:v>1250</c:v>
                </c:pt>
                <c:pt idx="626" formatCode="#,##0">
                  <c:v>1250</c:v>
                </c:pt>
                <c:pt idx="627" formatCode="#,##0">
                  <c:v>1250</c:v>
                </c:pt>
                <c:pt idx="628" formatCode="#,##0">
                  <c:v>1250</c:v>
                </c:pt>
                <c:pt idx="629" formatCode="#,##0">
                  <c:v>1250</c:v>
                </c:pt>
                <c:pt idx="630" formatCode="#,##0">
                  <c:v>1250</c:v>
                </c:pt>
                <c:pt idx="631" formatCode="#,##0">
                  <c:v>1250</c:v>
                </c:pt>
                <c:pt idx="632" formatCode="#,##0">
                  <c:v>1250</c:v>
                </c:pt>
                <c:pt idx="633" formatCode="#,##0">
                  <c:v>1250</c:v>
                </c:pt>
                <c:pt idx="634" formatCode="#,##0">
                  <c:v>1250</c:v>
                </c:pt>
                <c:pt idx="635" formatCode="#,##0">
                  <c:v>1250</c:v>
                </c:pt>
                <c:pt idx="636" formatCode="#,##0">
                  <c:v>1250</c:v>
                </c:pt>
                <c:pt idx="637" formatCode="#,##0">
                  <c:v>1250</c:v>
                </c:pt>
                <c:pt idx="638" formatCode="#,##0">
                  <c:v>1250</c:v>
                </c:pt>
                <c:pt idx="639" formatCode="#,##0">
                  <c:v>1250</c:v>
                </c:pt>
                <c:pt idx="640" formatCode="#,##0">
                  <c:v>1250</c:v>
                </c:pt>
                <c:pt idx="641" formatCode="#,##0">
                  <c:v>1250</c:v>
                </c:pt>
                <c:pt idx="642" formatCode="#,##0">
                  <c:v>1250</c:v>
                </c:pt>
                <c:pt idx="643" formatCode="#,##0">
                  <c:v>1250</c:v>
                </c:pt>
                <c:pt idx="644" formatCode="#,##0">
                  <c:v>1250</c:v>
                </c:pt>
                <c:pt idx="645" formatCode="#,##0">
                  <c:v>1250</c:v>
                </c:pt>
                <c:pt idx="646" formatCode="#,##0">
                  <c:v>1250</c:v>
                </c:pt>
                <c:pt idx="647" formatCode="#,##0">
                  <c:v>1250</c:v>
                </c:pt>
                <c:pt idx="648" formatCode="#,##0">
                  <c:v>1250</c:v>
                </c:pt>
                <c:pt idx="649" formatCode="#,##0">
                  <c:v>1250</c:v>
                </c:pt>
                <c:pt idx="650" formatCode="#,##0">
                  <c:v>1250</c:v>
                </c:pt>
                <c:pt idx="651" formatCode="#,##0">
                  <c:v>1250</c:v>
                </c:pt>
                <c:pt idx="652" formatCode="#,##0">
                  <c:v>1250</c:v>
                </c:pt>
                <c:pt idx="653" formatCode="#,##0">
                  <c:v>1250</c:v>
                </c:pt>
                <c:pt idx="654" formatCode="#,##0">
                  <c:v>1250</c:v>
                </c:pt>
                <c:pt idx="655" formatCode="#,##0">
                  <c:v>1250</c:v>
                </c:pt>
                <c:pt idx="656" formatCode="#,##0">
                  <c:v>1250</c:v>
                </c:pt>
                <c:pt idx="657" formatCode="#,##0">
                  <c:v>1250</c:v>
                </c:pt>
                <c:pt idx="658" formatCode="#,##0">
                  <c:v>1250</c:v>
                </c:pt>
                <c:pt idx="659" formatCode="#,##0">
                  <c:v>1250</c:v>
                </c:pt>
                <c:pt idx="660" formatCode="#,##0">
                  <c:v>1250</c:v>
                </c:pt>
                <c:pt idx="661" formatCode="#,##0">
                  <c:v>1250</c:v>
                </c:pt>
                <c:pt idx="662" formatCode="#,##0">
                  <c:v>1250</c:v>
                </c:pt>
                <c:pt idx="663" formatCode="#,##0">
                  <c:v>1250</c:v>
                </c:pt>
                <c:pt idx="664" formatCode="#,##0">
                  <c:v>1250</c:v>
                </c:pt>
                <c:pt idx="665" formatCode="#,##0">
                  <c:v>1250</c:v>
                </c:pt>
                <c:pt idx="666" formatCode="#,##0">
                  <c:v>1250</c:v>
                </c:pt>
                <c:pt idx="667" formatCode="#,##0">
                  <c:v>1250</c:v>
                </c:pt>
                <c:pt idx="668" formatCode="#,##0">
                  <c:v>1250</c:v>
                </c:pt>
                <c:pt idx="669" formatCode="#,##0">
                  <c:v>1250</c:v>
                </c:pt>
                <c:pt idx="670" formatCode="#,##0">
                  <c:v>1250</c:v>
                </c:pt>
                <c:pt idx="671" formatCode="#,##0">
                  <c:v>1250</c:v>
                </c:pt>
                <c:pt idx="672" formatCode="#,##0">
                  <c:v>1250</c:v>
                </c:pt>
                <c:pt idx="673" formatCode="#,##0">
                  <c:v>1250</c:v>
                </c:pt>
                <c:pt idx="674" formatCode="#,##0">
                  <c:v>1250</c:v>
                </c:pt>
                <c:pt idx="675" formatCode="#,##0">
                  <c:v>1250</c:v>
                </c:pt>
                <c:pt idx="676" formatCode="#,##0">
                  <c:v>1250</c:v>
                </c:pt>
                <c:pt idx="677" formatCode="#,##0">
                  <c:v>1250</c:v>
                </c:pt>
                <c:pt idx="678" formatCode="#,##0">
                  <c:v>1250</c:v>
                </c:pt>
                <c:pt idx="679" formatCode="#,##0">
                  <c:v>1250</c:v>
                </c:pt>
                <c:pt idx="680" formatCode="#,##0">
                  <c:v>1250</c:v>
                </c:pt>
                <c:pt idx="681" formatCode="#,##0">
                  <c:v>1250</c:v>
                </c:pt>
                <c:pt idx="682" formatCode="#,##0">
                  <c:v>1250</c:v>
                </c:pt>
                <c:pt idx="683" formatCode="#,##0">
                  <c:v>1250</c:v>
                </c:pt>
                <c:pt idx="684" formatCode="#,##0">
                  <c:v>1250</c:v>
                </c:pt>
                <c:pt idx="685" formatCode="#,##0">
                  <c:v>1250</c:v>
                </c:pt>
                <c:pt idx="686" formatCode="#,##0">
                  <c:v>1250</c:v>
                </c:pt>
                <c:pt idx="687" formatCode="#,##0">
                  <c:v>1250</c:v>
                </c:pt>
                <c:pt idx="688" formatCode="#,##0">
                  <c:v>1250</c:v>
                </c:pt>
                <c:pt idx="689" formatCode="#,##0">
                  <c:v>1250</c:v>
                </c:pt>
                <c:pt idx="690" formatCode="#,##0">
                  <c:v>1250</c:v>
                </c:pt>
                <c:pt idx="691" formatCode="#,##0">
                  <c:v>1250</c:v>
                </c:pt>
                <c:pt idx="692" formatCode="#,##0">
                  <c:v>1250</c:v>
                </c:pt>
                <c:pt idx="693" formatCode="#,##0">
                  <c:v>1250</c:v>
                </c:pt>
                <c:pt idx="694" formatCode="#,##0">
                  <c:v>1250</c:v>
                </c:pt>
                <c:pt idx="695" formatCode="#,##0">
                  <c:v>1250</c:v>
                </c:pt>
                <c:pt idx="696" formatCode="#,##0">
                  <c:v>1250</c:v>
                </c:pt>
                <c:pt idx="697" formatCode="#,##0">
                  <c:v>1250</c:v>
                </c:pt>
                <c:pt idx="698" formatCode="#,##0">
                  <c:v>1250</c:v>
                </c:pt>
                <c:pt idx="699" formatCode="#,##0">
                  <c:v>1250</c:v>
                </c:pt>
                <c:pt idx="700" formatCode="#,##0">
                  <c:v>1250</c:v>
                </c:pt>
                <c:pt idx="701" formatCode="#,##0">
                  <c:v>1250</c:v>
                </c:pt>
                <c:pt idx="702" formatCode="#,##0">
                  <c:v>1250</c:v>
                </c:pt>
                <c:pt idx="703" formatCode="#,##0">
                  <c:v>1250</c:v>
                </c:pt>
                <c:pt idx="704" formatCode="#,##0">
                  <c:v>1250</c:v>
                </c:pt>
                <c:pt idx="705" formatCode="#,##0">
                  <c:v>1250</c:v>
                </c:pt>
                <c:pt idx="706" formatCode="#,##0">
                  <c:v>1250</c:v>
                </c:pt>
                <c:pt idx="707" formatCode="#,##0">
                  <c:v>1250</c:v>
                </c:pt>
                <c:pt idx="708" formatCode="#,##0">
                  <c:v>1250</c:v>
                </c:pt>
                <c:pt idx="709" formatCode="#,##0">
                  <c:v>1250</c:v>
                </c:pt>
                <c:pt idx="710" formatCode="#,##0">
                  <c:v>1550</c:v>
                </c:pt>
                <c:pt idx="711" formatCode="#,##0">
                  <c:v>1550</c:v>
                </c:pt>
                <c:pt idx="712" formatCode="#,##0">
                  <c:v>1550</c:v>
                </c:pt>
                <c:pt idx="713" formatCode="#,##0">
                  <c:v>1550</c:v>
                </c:pt>
                <c:pt idx="714" formatCode="#,##0">
                  <c:v>1550</c:v>
                </c:pt>
                <c:pt idx="715" formatCode="#,##0">
                  <c:v>1550</c:v>
                </c:pt>
                <c:pt idx="716" formatCode="#,##0">
                  <c:v>1550</c:v>
                </c:pt>
                <c:pt idx="717" formatCode="#,##0">
                  <c:v>1550</c:v>
                </c:pt>
                <c:pt idx="718" formatCode="#,##0">
                  <c:v>1550</c:v>
                </c:pt>
                <c:pt idx="719" formatCode="#,##0">
                  <c:v>1550</c:v>
                </c:pt>
                <c:pt idx="720" formatCode="#,##0">
                  <c:v>1550</c:v>
                </c:pt>
                <c:pt idx="721" formatCode="#,##0">
                  <c:v>1550</c:v>
                </c:pt>
                <c:pt idx="722" formatCode="#,##0">
                  <c:v>1550</c:v>
                </c:pt>
                <c:pt idx="723" formatCode="#,##0">
                  <c:v>1550</c:v>
                </c:pt>
                <c:pt idx="724" formatCode="#,##0">
                  <c:v>1550</c:v>
                </c:pt>
                <c:pt idx="725" formatCode="#,##0">
                  <c:v>1550</c:v>
                </c:pt>
                <c:pt idx="726" formatCode="#,##0">
                  <c:v>1550</c:v>
                </c:pt>
                <c:pt idx="727" formatCode="#,##0">
                  <c:v>1550</c:v>
                </c:pt>
                <c:pt idx="728" formatCode="#,##0">
                  <c:v>1550</c:v>
                </c:pt>
                <c:pt idx="729" formatCode="#,##0">
                  <c:v>1550</c:v>
                </c:pt>
                <c:pt idx="730" formatCode="#,##0">
                  <c:v>1550</c:v>
                </c:pt>
                <c:pt idx="731" formatCode="#,##0">
                  <c:v>1550</c:v>
                </c:pt>
                <c:pt idx="732" formatCode="#,##0">
                  <c:v>1550</c:v>
                </c:pt>
                <c:pt idx="733" formatCode="#,##0">
                  <c:v>1550</c:v>
                </c:pt>
                <c:pt idx="734" formatCode="#,##0">
                  <c:v>1550</c:v>
                </c:pt>
                <c:pt idx="735" formatCode="#,##0">
                  <c:v>1550</c:v>
                </c:pt>
                <c:pt idx="736" formatCode="#,##0">
                  <c:v>1550</c:v>
                </c:pt>
                <c:pt idx="737" formatCode="#,##0">
                  <c:v>1550</c:v>
                </c:pt>
                <c:pt idx="738" formatCode="#,##0">
                  <c:v>1550</c:v>
                </c:pt>
                <c:pt idx="739" formatCode="#,##0">
                  <c:v>1550</c:v>
                </c:pt>
                <c:pt idx="740" formatCode="#,##0">
                  <c:v>1550</c:v>
                </c:pt>
                <c:pt idx="741" formatCode="#,##0">
                  <c:v>1550</c:v>
                </c:pt>
                <c:pt idx="742" formatCode="#,##0">
                  <c:v>1550</c:v>
                </c:pt>
                <c:pt idx="743" formatCode="#,##0">
                  <c:v>1550</c:v>
                </c:pt>
                <c:pt idx="744" formatCode="#,##0">
                  <c:v>1550</c:v>
                </c:pt>
                <c:pt idx="745" formatCode="#,##0">
                  <c:v>1550</c:v>
                </c:pt>
                <c:pt idx="746" formatCode="#,##0">
                  <c:v>1550</c:v>
                </c:pt>
                <c:pt idx="747" formatCode="#,##0">
                  <c:v>1550</c:v>
                </c:pt>
                <c:pt idx="748" formatCode="#,##0">
                  <c:v>1550</c:v>
                </c:pt>
                <c:pt idx="749" formatCode="#,##0">
                  <c:v>1550</c:v>
                </c:pt>
                <c:pt idx="750" formatCode="#,##0">
                  <c:v>1550</c:v>
                </c:pt>
                <c:pt idx="751" formatCode="#,##0">
                  <c:v>1550</c:v>
                </c:pt>
                <c:pt idx="752" formatCode="#,##0">
                  <c:v>1550</c:v>
                </c:pt>
                <c:pt idx="753" formatCode="#,##0">
                  <c:v>1550</c:v>
                </c:pt>
                <c:pt idx="754" formatCode="#,##0">
                  <c:v>1550</c:v>
                </c:pt>
                <c:pt idx="755" formatCode="#,##0">
                  <c:v>1550</c:v>
                </c:pt>
                <c:pt idx="756" formatCode="#,##0">
                  <c:v>1550</c:v>
                </c:pt>
                <c:pt idx="757" formatCode="#,##0">
                  <c:v>1550</c:v>
                </c:pt>
                <c:pt idx="758" formatCode="#,##0">
                  <c:v>1550</c:v>
                </c:pt>
                <c:pt idx="759" formatCode="#,##0">
                  <c:v>1550</c:v>
                </c:pt>
                <c:pt idx="760" formatCode="#,##0">
                  <c:v>1550</c:v>
                </c:pt>
                <c:pt idx="761" formatCode="#,##0">
                  <c:v>1550</c:v>
                </c:pt>
                <c:pt idx="762" formatCode="#,##0">
                  <c:v>1550</c:v>
                </c:pt>
                <c:pt idx="763" formatCode="#,##0">
                  <c:v>1550</c:v>
                </c:pt>
                <c:pt idx="764" formatCode="#,##0">
                  <c:v>1550</c:v>
                </c:pt>
                <c:pt idx="765" formatCode="#,##0">
                  <c:v>1550</c:v>
                </c:pt>
                <c:pt idx="766" formatCode="#,##0">
                  <c:v>1550</c:v>
                </c:pt>
                <c:pt idx="767" formatCode="#,##0">
                  <c:v>1550</c:v>
                </c:pt>
                <c:pt idx="768" formatCode="#,##0">
                  <c:v>1550</c:v>
                </c:pt>
                <c:pt idx="769" formatCode="#,##0">
                  <c:v>1550</c:v>
                </c:pt>
                <c:pt idx="770" formatCode="#,##0">
                  <c:v>1550</c:v>
                </c:pt>
                <c:pt idx="771" formatCode="#,##0">
                  <c:v>1550</c:v>
                </c:pt>
                <c:pt idx="772" formatCode="#,##0">
                  <c:v>1550</c:v>
                </c:pt>
                <c:pt idx="773" formatCode="#,##0">
                  <c:v>1550</c:v>
                </c:pt>
                <c:pt idx="774" formatCode="#,##0">
                  <c:v>1550</c:v>
                </c:pt>
                <c:pt idx="775" formatCode="#,##0">
                  <c:v>1550</c:v>
                </c:pt>
                <c:pt idx="776" formatCode="#,##0">
                  <c:v>1550</c:v>
                </c:pt>
                <c:pt idx="777" formatCode="#,##0">
                  <c:v>1550</c:v>
                </c:pt>
                <c:pt idx="778" formatCode="#,##0">
                  <c:v>1550</c:v>
                </c:pt>
                <c:pt idx="779" formatCode="#,##0">
                  <c:v>1550</c:v>
                </c:pt>
                <c:pt idx="780" formatCode="#,##0">
                  <c:v>1550</c:v>
                </c:pt>
                <c:pt idx="781" formatCode="#,##0">
                  <c:v>1550</c:v>
                </c:pt>
                <c:pt idx="782" formatCode="#,##0">
                  <c:v>1550</c:v>
                </c:pt>
                <c:pt idx="783" formatCode="#,##0">
                  <c:v>1550</c:v>
                </c:pt>
                <c:pt idx="784" formatCode="#,##0">
                  <c:v>1550</c:v>
                </c:pt>
                <c:pt idx="785" formatCode="#,##0">
                  <c:v>1550</c:v>
                </c:pt>
                <c:pt idx="786" formatCode="#,##0">
                  <c:v>1550</c:v>
                </c:pt>
                <c:pt idx="787" formatCode="#,##0">
                  <c:v>1550</c:v>
                </c:pt>
                <c:pt idx="788" formatCode="#,##0">
                  <c:v>1550</c:v>
                </c:pt>
                <c:pt idx="789" formatCode="#,##0">
                  <c:v>1550</c:v>
                </c:pt>
                <c:pt idx="790" formatCode="#,##0">
                  <c:v>1550</c:v>
                </c:pt>
                <c:pt idx="791" formatCode="#,##0">
                  <c:v>1550</c:v>
                </c:pt>
                <c:pt idx="792" formatCode="#,##0">
                  <c:v>1550</c:v>
                </c:pt>
                <c:pt idx="793" formatCode="#,##0">
                  <c:v>1550</c:v>
                </c:pt>
                <c:pt idx="794" formatCode="#,##0">
                  <c:v>1550</c:v>
                </c:pt>
                <c:pt idx="795" formatCode="#,##0">
                  <c:v>1550</c:v>
                </c:pt>
                <c:pt idx="796" formatCode="#,##0">
                  <c:v>1550</c:v>
                </c:pt>
                <c:pt idx="797" formatCode="#,##0">
                  <c:v>1550</c:v>
                </c:pt>
                <c:pt idx="798" formatCode="#,##0">
                  <c:v>1550</c:v>
                </c:pt>
                <c:pt idx="799" formatCode="#,##0">
                  <c:v>1550</c:v>
                </c:pt>
                <c:pt idx="800" formatCode="#,##0">
                  <c:v>1550</c:v>
                </c:pt>
                <c:pt idx="801" formatCode="#,##0">
                  <c:v>1550</c:v>
                </c:pt>
                <c:pt idx="802" formatCode="#,##0">
                  <c:v>1550</c:v>
                </c:pt>
                <c:pt idx="803" formatCode="#,##0">
                  <c:v>1550</c:v>
                </c:pt>
                <c:pt idx="804" formatCode="#,##0">
                  <c:v>1550</c:v>
                </c:pt>
                <c:pt idx="805" formatCode="#,##0">
                  <c:v>1550</c:v>
                </c:pt>
                <c:pt idx="806" formatCode="#,##0">
                  <c:v>1550</c:v>
                </c:pt>
                <c:pt idx="807" formatCode="#,##0">
                  <c:v>1550</c:v>
                </c:pt>
                <c:pt idx="808" formatCode="#,##0">
                  <c:v>1550</c:v>
                </c:pt>
                <c:pt idx="809" formatCode="#,##0">
                  <c:v>1550</c:v>
                </c:pt>
                <c:pt idx="810" formatCode="#,##0">
                  <c:v>1550</c:v>
                </c:pt>
                <c:pt idx="811" formatCode="#,##0">
                  <c:v>1550</c:v>
                </c:pt>
                <c:pt idx="812" formatCode="#,##0">
                  <c:v>1550</c:v>
                </c:pt>
                <c:pt idx="813" formatCode="#,##0">
                  <c:v>1550</c:v>
                </c:pt>
                <c:pt idx="814" formatCode="#,##0">
                  <c:v>1550</c:v>
                </c:pt>
                <c:pt idx="815" formatCode="#,##0">
                  <c:v>1550</c:v>
                </c:pt>
                <c:pt idx="816" formatCode="#,##0">
                  <c:v>1550</c:v>
                </c:pt>
                <c:pt idx="817" formatCode="#,##0">
                  <c:v>1550</c:v>
                </c:pt>
                <c:pt idx="818" formatCode="#,##0">
                  <c:v>1550</c:v>
                </c:pt>
                <c:pt idx="819" formatCode="#,##0">
                  <c:v>1550</c:v>
                </c:pt>
                <c:pt idx="820" formatCode="#,##0">
                  <c:v>1550</c:v>
                </c:pt>
                <c:pt idx="821" formatCode="#,##0">
                  <c:v>1550</c:v>
                </c:pt>
                <c:pt idx="822" formatCode="#,##0">
                  <c:v>1550</c:v>
                </c:pt>
                <c:pt idx="823" formatCode="#,##0">
                  <c:v>1550</c:v>
                </c:pt>
                <c:pt idx="824" formatCode="#,##0">
                  <c:v>1550</c:v>
                </c:pt>
                <c:pt idx="825" formatCode="#,##0">
                  <c:v>1550</c:v>
                </c:pt>
                <c:pt idx="826" formatCode="#,##0">
                  <c:v>1550</c:v>
                </c:pt>
                <c:pt idx="827" formatCode="#,##0">
                  <c:v>1550</c:v>
                </c:pt>
                <c:pt idx="828" formatCode="#,##0">
                  <c:v>1550</c:v>
                </c:pt>
                <c:pt idx="829" formatCode="#,##0">
                  <c:v>1550</c:v>
                </c:pt>
                <c:pt idx="830" formatCode="#,##0">
                  <c:v>1550</c:v>
                </c:pt>
                <c:pt idx="831" formatCode="#,##0">
                  <c:v>1550</c:v>
                </c:pt>
                <c:pt idx="832" formatCode="#,##0">
                  <c:v>1550</c:v>
                </c:pt>
                <c:pt idx="833" formatCode="#,##0">
                  <c:v>1550</c:v>
                </c:pt>
                <c:pt idx="834" formatCode="#,##0">
                  <c:v>1550</c:v>
                </c:pt>
                <c:pt idx="835" formatCode="#,##0">
                  <c:v>1550</c:v>
                </c:pt>
                <c:pt idx="836" formatCode="#,##0">
                  <c:v>1550</c:v>
                </c:pt>
                <c:pt idx="837" formatCode="#,##0">
                  <c:v>1550</c:v>
                </c:pt>
                <c:pt idx="838" formatCode="#,##0">
                  <c:v>1550</c:v>
                </c:pt>
                <c:pt idx="839" formatCode="#,##0">
                  <c:v>1550</c:v>
                </c:pt>
                <c:pt idx="840" formatCode="#,##0">
                  <c:v>1550</c:v>
                </c:pt>
                <c:pt idx="841" formatCode="#,##0">
                  <c:v>1550</c:v>
                </c:pt>
                <c:pt idx="842" formatCode="#,##0">
                  <c:v>1550</c:v>
                </c:pt>
                <c:pt idx="843" formatCode="#,##0">
                  <c:v>1550</c:v>
                </c:pt>
                <c:pt idx="844" formatCode="#,##0">
                  <c:v>1550</c:v>
                </c:pt>
                <c:pt idx="845" formatCode="#,##0">
                  <c:v>1550</c:v>
                </c:pt>
                <c:pt idx="846" formatCode="#,##0">
                  <c:v>1550</c:v>
                </c:pt>
                <c:pt idx="847" formatCode="#,##0">
                  <c:v>1550</c:v>
                </c:pt>
                <c:pt idx="848" formatCode="#,##0">
                  <c:v>1550</c:v>
                </c:pt>
                <c:pt idx="849" formatCode="#,##0">
                  <c:v>1550</c:v>
                </c:pt>
                <c:pt idx="850" formatCode="#,##0">
                  <c:v>1550</c:v>
                </c:pt>
                <c:pt idx="851" formatCode="#,##0">
                  <c:v>1550</c:v>
                </c:pt>
                <c:pt idx="852" formatCode="#,##0">
                  <c:v>1550</c:v>
                </c:pt>
                <c:pt idx="853" formatCode="#,##0">
                  <c:v>1550</c:v>
                </c:pt>
                <c:pt idx="854" formatCode="#,##0">
                  <c:v>1550</c:v>
                </c:pt>
                <c:pt idx="855" formatCode="#,##0">
                  <c:v>1550</c:v>
                </c:pt>
                <c:pt idx="856" formatCode="#,##0">
                  <c:v>1550</c:v>
                </c:pt>
                <c:pt idx="857" formatCode="#,##0">
                  <c:v>1550</c:v>
                </c:pt>
                <c:pt idx="858" formatCode="#,##0">
                  <c:v>1550</c:v>
                </c:pt>
                <c:pt idx="859" formatCode="#,##0">
                  <c:v>1550</c:v>
                </c:pt>
                <c:pt idx="860" formatCode="#,##0">
                  <c:v>1550</c:v>
                </c:pt>
                <c:pt idx="861" formatCode="#,##0">
                  <c:v>1550</c:v>
                </c:pt>
                <c:pt idx="862" formatCode="#,##0">
                  <c:v>1550</c:v>
                </c:pt>
                <c:pt idx="863" formatCode="#,##0">
                  <c:v>1550</c:v>
                </c:pt>
                <c:pt idx="864" formatCode="#,##0">
                  <c:v>1550</c:v>
                </c:pt>
                <c:pt idx="865" formatCode="#,##0">
                  <c:v>1550</c:v>
                </c:pt>
                <c:pt idx="866" formatCode="#,##0">
                  <c:v>1550</c:v>
                </c:pt>
                <c:pt idx="867" formatCode="#,##0">
                  <c:v>1550</c:v>
                </c:pt>
                <c:pt idx="868" formatCode="#,##0">
                  <c:v>1550</c:v>
                </c:pt>
                <c:pt idx="869" formatCode="#,##0">
                  <c:v>1550</c:v>
                </c:pt>
                <c:pt idx="870" formatCode="#,##0">
                  <c:v>1550</c:v>
                </c:pt>
                <c:pt idx="871" formatCode="#,##0">
                  <c:v>1550</c:v>
                </c:pt>
                <c:pt idx="872" formatCode="#,##0">
                  <c:v>1550</c:v>
                </c:pt>
                <c:pt idx="873" formatCode="#,##0">
                  <c:v>1550</c:v>
                </c:pt>
                <c:pt idx="874" formatCode="#,##0">
                  <c:v>1550</c:v>
                </c:pt>
                <c:pt idx="875" formatCode="#,##0">
                  <c:v>1550</c:v>
                </c:pt>
                <c:pt idx="876" formatCode="#,##0">
                  <c:v>1550</c:v>
                </c:pt>
                <c:pt idx="877" formatCode="#,##0">
                  <c:v>1850</c:v>
                </c:pt>
                <c:pt idx="878" formatCode="#,##0">
                  <c:v>1850</c:v>
                </c:pt>
                <c:pt idx="879" formatCode="#,##0">
                  <c:v>1850</c:v>
                </c:pt>
                <c:pt idx="880" formatCode="#,##0">
                  <c:v>1850</c:v>
                </c:pt>
                <c:pt idx="881" formatCode="#,##0">
                  <c:v>1850</c:v>
                </c:pt>
                <c:pt idx="882" formatCode="#,##0">
                  <c:v>1850</c:v>
                </c:pt>
                <c:pt idx="883" formatCode="#,##0">
                  <c:v>1850</c:v>
                </c:pt>
                <c:pt idx="884" formatCode="#,##0">
                  <c:v>1850</c:v>
                </c:pt>
                <c:pt idx="885" formatCode="#,##0">
                  <c:v>1850</c:v>
                </c:pt>
                <c:pt idx="886" formatCode="#,##0">
                  <c:v>1850</c:v>
                </c:pt>
                <c:pt idx="887" formatCode="#,##0">
                  <c:v>1850</c:v>
                </c:pt>
                <c:pt idx="888" formatCode="#,##0">
                  <c:v>1850</c:v>
                </c:pt>
                <c:pt idx="889" formatCode="#,##0">
                  <c:v>1850</c:v>
                </c:pt>
                <c:pt idx="890" formatCode="#,##0">
                  <c:v>1850</c:v>
                </c:pt>
                <c:pt idx="891" formatCode="#,##0">
                  <c:v>1850</c:v>
                </c:pt>
                <c:pt idx="892" formatCode="#,##0">
                  <c:v>1850</c:v>
                </c:pt>
                <c:pt idx="893" formatCode="#,##0">
                  <c:v>1850</c:v>
                </c:pt>
                <c:pt idx="894" formatCode="#,##0">
                  <c:v>1850</c:v>
                </c:pt>
                <c:pt idx="895" formatCode="#,##0">
                  <c:v>1850</c:v>
                </c:pt>
                <c:pt idx="896" formatCode="#,##0">
                  <c:v>1850</c:v>
                </c:pt>
                <c:pt idx="897" formatCode="#,##0">
                  <c:v>1850</c:v>
                </c:pt>
                <c:pt idx="898" formatCode="#,##0">
                  <c:v>1850</c:v>
                </c:pt>
                <c:pt idx="899" formatCode="#,##0">
                  <c:v>1850</c:v>
                </c:pt>
                <c:pt idx="900" formatCode="#,##0">
                  <c:v>1850</c:v>
                </c:pt>
                <c:pt idx="901" formatCode="#,##0">
                  <c:v>1850</c:v>
                </c:pt>
                <c:pt idx="902" formatCode="#,##0">
                  <c:v>1850</c:v>
                </c:pt>
                <c:pt idx="903" formatCode="#,##0">
                  <c:v>1850</c:v>
                </c:pt>
                <c:pt idx="904" formatCode="#,##0">
                  <c:v>1850</c:v>
                </c:pt>
                <c:pt idx="905" formatCode="#,##0">
                  <c:v>1850</c:v>
                </c:pt>
                <c:pt idx="906" formatCode="#,##0">
                  <c:v>1850</c:v>
                </c:pt>
                <c:pt idx="907" formatCode="#,##0">
                  <c:v>1850</c:v>
                </c:pt>
                <c:pt idx="908" formatCode="#,##0">
                  <c:v>1850</c:v>
                </c:pt>
                <c:pt idx="909" formatCode="#,##0">
                  <c:v>1850</c:v>
                </c:pt>
                <c:pt idx="910" formatCode="#,##0">
                  <c:v>1850</c:v>
                </c:pt>
                <c:pt idx="911" formatCode="#,##0">
                  <c:v>1850</c:v>
                </c:pt>
                <c:pt idx="912" formatCode="#,##0">
                  <c:v>1850</c:v>
                </c:pt>
                <c:pt idx="913" formatCode="#,##0">
                  <c:v>1850</c:v>
                </c:pt>
                <c:pt idx="914" formatCode="#,##0">
                  <c:v>1850</c:v>
                </c:pt>
                <c:pt idx="915" formatCode="#,##0">
                  <c:v>1850</c:v>
                </c:pt>
                <c:pt idx="916" formatCode="#,##0">
                  <c:v>1850</c:v>
                </c:pt>
                <c:pt idx="917" formatCode="#,##0">
                  <c:v>1850</c:v>
                </c:pt>
                <c:pt idx="918" formatCode="#,##0">
                  <c:v>1850</c:v>
                </c:pt>
                <c:pt idx="919" formatCode="#,##0">
                  <c:v>1850</c:v>
                </c:pt>
                <c:pt idx="920" formatCode="#,##0">
                  <c:v>1850</c:v>
                </c:pt>
                <c:pt idx="921" formatCode="#,##0">
                  <c:v>1850</c:v>
                </c:pt>
                <c:pt idx="922" formatCode="#,##0">
                  <c:v>1850</c:v>
                </c:pt>
                <c:pt idx="923" formatCode="#,##0">
                  <c:v>1850</c:v>
                </c:pt>
                <c:pt idx="924" formatCode="#,##0">
                  <c:v>1850</c:v>
                </c:pt>
                <c:pt idx="925" formatCode="#,##0">
                  <c:v>1850</c:v>
                </c:pt>
                <c:pt idx="926" formatCode="#,##0">
                  <c:v>1850</c:v>
                </c:pt>
                <c:pt idx="927" formatCode="#,##0">
                  <c:v>1850</c:v>
                </c:pt>
                <c:pt idx="928" formatCode="#,##0">
                  <c:v>1850</c:v>
                </c:pt>
                <c:pt idx="929" formatCode="#,##0">
                  <c:v>1850</c:v>
                </c:pt>
                <c:pt idx="930" formatCode="#,##0">
                  <c:v>1850</c:v>
                </c:pt>
                <c:pt idx="931" formatCode="#,##0">
                  <c:v>1850</c:v>
                </c:pt>
                <c:pt idx="932" formatCode="#,##0">
                  <c:v>1850</c:v>
                </c:pt>
                <c:pt idx="933" formatCode="#,##0">
                  <c:v>1850</c:v>
                </c:pt>
                <c:pt idx="934" formatCode="#,##0">
                  <c:v>1850</c:v>
                </c:pt>
                <c:pt idx="935" formatCode="#,##0">
                  <c:v>1850</c:v>
                </c:pt>
                <c:pt idx="936" formatCode="#,##0">
                  <c:v>1850</c:v>
                </c:pt>
                <c:pt idx="937" formatCode="#,##0">
                  <c:v>1850</c:v>
                </c:pt>
                <c:pt idx="938" formatCode="#,##0">
                  <c:v>1850</c:v>
                </c:pt>
                <c:pt idx="939" formatCode="#,##0">
                  <c:v>1850</c:v>
                </c:pt>
                <c:pt idx="940" formatCode="#,##0">
                  <c:v>1850</c:v>
                </c:pt>
                <c:pt idx="941" formatCode="#,##0">
                  <c:v>1850</c:v>
                </c:pt>
                <c:pt idx="942" formatCode="#,##0">
                  <c:v>1850</c:v>
                </c:pt>
                <c:pt idx="943" formatCode="#,##0">
                  <c:v>1850</c:v>
                </c:pt>
                <c:pt idx="944" formatCode="#,##0">
                  <c:v>1850</c:v>
                </c:pt>
                <c:pt idx="945" formatCode="#,##0">
                  <c:v>1850</c:v>
                </c:pt>
                <c:pt idx="946" formatCode="#,##0">
                  <c:v>1850</c:v>
                </c:pt>
                <c:pt idx="947" formatCode="#,##0">
                  <c:v>1850</c:v>
                </c:pt>
                <c:pt idx="948" formatCode="#,##0">
                  <c:v>1850</c:v>
                </c:pt>
                <c:pt idx="949" formatCode="#,##0">
                  <c:v>1850</c:v>
                </c:pt>
                <c:pt idx="950" formatCode="#,##0">
                  <c:v>1850</c:v>
                </c:pt>
                <c:pt idx="951" formatCode="#,##0">
                  <c:v>1850</c:v>
                </c:pt>
                <c:pt idx="952" formatCode="#,##0">
                  <c:v>1850</c:v>
                </c:pt>
                <c:pt idx="953" formatCode="#,##0">
                  <c:v>1850</c:v>
                </c:pt>
                <c:pt idx="954" formatCode="#,##0">
                  <c:v>1850</c:v>
                </c:pt>
                <c:pt idx="955" formatCode="#,##0">
                  <c:v>1850</c:v>
                </c:pt>
                <c:pt idx="956" formatCode="#,##0">
                  <c:v>1850</c:v>
                </c:pt>
                <c:pt idx="957" formatCode="#,##0">
                  <c:v>1850</c:v>
                </c:pt>
                <c:pt idx="958" formatCode="#,##0">
                  <c:v>1850</c:v>
                </c:pt>
                <c:pt idx="959" formatCode="#,##0">
                  <c:v>1850</c:v>
                </c:pt>
                <c:pt idx="960" formatCode="#,##0">
                  <c:v>1850</c:v>
                </c:pt>
                <c:pt idx="961" formatCode="#,##0">
                  <c:v>1850</c:v>
                </c:pt>
                <c:pt idx="962" formatCode="#,##0">
                  <c:v>1850</c:v>
                </c:pt>
                <c:pt idx="963" formatCode="#,##0">
                  <c:v>1850</c:v>
                </c:pt>
                <c:pt idx="964" formatCode="#,##0">
                  <c:v>1850</c:v>
                </c:pt>
                <c:pt idx="965" formatCode="#,##0">
                  <c:v>1850</c:v>
                </c:pt>
                <c:pt idx="966" formatCode="#,##0">
                  <c:v>1850</c:v>
                </c:pt>
                <c:pt idx="967" formatCode="#,##0">
                  <c:v>1850</c:v>
                </c:pt>
                <c:pt idx="968" formatCode="#,##0">
                  <c:v>1850</c:v>
                </c:pt>
                <c:pt idx="969" formatCode="#,##0">
                  <c:v>1850</c:v>
                </c:pt>
                <c:pt idx="970" formatCode="#,##0">
                  <c:v>1850</c:v>
                </c:pt>
                <c:pt idx="971" formatCode="#,##0">
                  <c:v>1850</c:v>
                </c:pt>
                <c:pt idx="972" formatCode="#,##0">
                  <c:v>1850</c:v>
                </c:pt>
                <c:pt idx="973" formatCode="#,##0">
                  <c:v>1850</c:v>
                </c:pt>
                <c:pt idx="974" formatCode="#,##0">
                  <c:v>1850</c:v>
                </c:pt>
                <c:pt idx="975" formatCode="#,##0">
                  <c:v>1850</c:v>
                </c:pt>
                <c:pt idx="976" formatCode="#,##0">
                  <c:v>1850</c:v>
                </c:pt>
                <c:pt idx="977" formatCode="#,##0">
                  <c:v>1850</c:v>
                </c:pt>
                <c:pt idx="978" formatCode="#,##0">
                  <c:v>1850</c:v>
                </c:pt>
                <c:pt idx="979" formatCode="#,##0">
                  <c:v>1850</c:v>
                </c:pt>
                <c:pt idx="980" formatCode="#,##0">
                  <c:v>1850</c:v>
                </c:pt>
                <c:pt idx="981" formatCode="#,##0">
                  <c:v>1850</c:v>
                </c:pt>
                <c:pt idx="982" formatCode="#,##0">
                  <c:v>1850</c:v>
                </c:pt>
                <c:pt idx="983" formatCode="#,##0">
                  <c:v>1850</c:v>
                </c:pt>
                <c:pt idx="984" formatCode="#,##0">
                  <c:v>1850</c:v>
                </c:pt>
                <c:pt idx="985" formatCode="#,##0">
                  <c:v>1850</c:v>
                </c:pt>
                <c:pt idx="986" formatCode="#,##0">
                  <c:v>1850</c:v>
                </c:pt>
                <c:pt idx="987" formatCode="#,##0">
                  <c:v>1850</c:v>
                </c:pt>
                <c:pt idx="988" formatCode="#,##0">
                  <c:v>1850</c:v>
                </c:pt>
                <c:pt idx="989" formatCode="#,##0">
                  <c:v>1850</c:v>
                </c:pt>
                <c:pt idx="990" formatCode="#,##0">
                  <c:v>1850</c:v>
                </c:pt>
                <c:pt idx="991" formatCode="#,##0">
                  <c:v>1850</c:v>
                </c:pt>
                <c:pt idx="992" formatCode="#,##0">
                  <c:v>1850</c:v>
                </c:pt>
                <c:pt idx="993" formatCode="#,##0">
                  <c:v>1850</c:v>
                </c:pt>
                <c:pt idx="994" formatCode="#,##0">
                  <c:v>1850</c:v>
                </c:pt>
                <c:pt idx="995" formatCode="#,##0">
                  <c:v>1850</c:v>
                </c:pt>
                <c:pt idx="996" formatCode="#,##0">
                  <c:v>1850</c:v>
                </c:pt>
                <c:pt idx="997" formatCode="#,##0">
                  <c:v>1850</c:v>
                </c:pt>
                <c:pt idx="998" formatCode="#,##0">
                  <c:v>1850</c:v>
                </c:pt>
                <c:pt idx="999" formatCode="#,##0">
                  <c:v>1850</c:v>
                </c:pt>
                <c:pt idx="1000" formatCode="#,##0">
                  <c:v>1850</c:v>
                </c:pt>
                <c:pt idx="1001" formatCode="#,##0">
                  <c:v>1850</c:v>
                </c:pt>
                <c:pt idx="1002" formatCode="#,##0">
                  <c:v>1850</c:v>
                </c:pt>
                <c:pt idx="1003" formatCode="#,##0">
                  <c:v>1850</c:v>
                </c:pt>
                <c:pt idx="1004" formatCode="#,##0">
                  <c:v>1850</c:v>
                </c:pt>
                <c:pt idx="1005" formatCode="#,##0">
                  <c:v>1850</c:v>
                </c:pt>
                <c:pt idx="1006" formatCode="#,##0">
                  <c:v>1850</c:v>
                </c:pt>
                <c:pt idx="1007" formatCode="#,##0">
                  <c:v>1850</c:v>
                </c:pt>
                <c:pt idx="1008" formatCode="#,##0">
                  <c:v>1850</c:v>
                </c:pt>
                <c:pt idx="1009" formatCode="#,##0">
                  <c:v>1850</c:v>
                </c:pt>
                <c:pt idx="1010" formatCode="#,##0">
                  <c:v>1850</c:v>
                </c:pt>
                <c:pt idx="1011" formatCode="#,##0">
                  <c:v>1850</c:v>
                </c:pt>
                <c:pt idx="1012" formatCode="#,##0">
                  <c:v>1850</c:v>
                </c:pt>
                <c:pt idx="1013" formatCode="#,##0">
                  <c:v>1850</c:v>
                </c:pt>
                <c:pt idx="1014" formatCode="#,##0">
                  <c:v>1850</c:v>
                </c:pt>
                <c:pt idx="1015" formatCode="#,##0">
                  <c:v>1850</c:v>
                </c:pt>
                <c:pt idx="1016" formatCode="#,##0">
                  <c:v>1850</c:v>
                </c:pt>
                <c:pt idx="1017" formatCode="#,##0">
                  <c:v>1850</c:v>
                </c:pt>
                <c:pt idx="1018" formatCode="#,##0">
                  <c:v>1850</c:v>
                </c:pt>
                <c:pt idx="1019" formatCode="#,##0">
                  <c:v>1850</c:v>
                </c:pt>
                <c:pt idx="1020" formatCode="#,##0">
                  <c:v>1850</c:v>
                </c:pt>
                <c:pt idx="1021" formatCode="#,##0">
                  <c:v>1850</c:v>
                </c:pt>
                <c:pt idx="1022" formatCode="#,##0">
                  <c:v>1850</c:v>
                </c:pt>
                <c:pt idx="1023" formatCode="#,##0">
                  <c:v>1850</c:v>
                </c:pt>
                <c:pt idx="1024" formatCode="#,##0">
                  <c:v>1850</c:v>
                </c:pt>
                <c:pt idx="1025" formatCode="#,##0">
                  <c:v>1850</c:v>
                </c:pt>
                <c:pt idx="1026" formatCode="#,##0">
                  <c:v>1850</c:v>
                </c:pt>
                <c:pt idx="1027" formatCode="#,##0">
                  <c:v>1850</c:v>
                </c:pt>
                <c:pt idx="1028" formatCode="#,##0">
                  <c:v>1850</c:v>
                </c:pt>
                <c:pt idx="1029" formatCode="#,##0">
                  <c:v>1850</c:v>
                </c:pt>
                <c:pt idx="1030" formatCode="#,##0">
                  <c:v>1850</c:v>
                </c:pt>
                <c:pt idx="1031" formatCode="#,##0">
                  <c:v>1850</c:v>
                </c:pt>
                <c:pt idx="1032" formatCode="#,##0">
                  <c:v>1850</c:v>
                </c:pt>
                <c:pt idx="1033" formatCode="#,##0">
                  <c:v>1850</c:v>
                </c:pt>
                <c:pt idx="1034" formatCode="#,##0">
                  <c:v>1850</c:v>
                </c:pt>
                <c:pt idx="1035" formatCode="#,##0">
                  <c:v>1850</c:v>
                </c:pt>
                <c:pt idx="1036" formatCode="#,##0">
                  <c:v>1850</c:v>
                </c:pt>
                <c:pt idx="1037" formatCode="#,##0">
                  <c:v>1850</c:v>
                </c:pt>
                <c:pt idx="1038" formatCode="#,##0">
                  <c:v>1850</c:v>
                </c:pt>
                <c:pt idx="1039" formatCode="#,##0">
                  <c:v>1850</c:v>
                </c:pt>
                <c:pt idx="1040" formatCode="#,##0">
                  <c:v>1850</c:v>
                </c:pt>
                <c:pt idx="1041" formatCode="#,##0">
                  <c:v>1850</c:v>
                </c:pt>
                <c:pt idx="1042" formatCode="#,##0">
                  <c:v>1850</c:v>
                </c:pt>
                <c:pt idx="1043" formatCode="#,##0">
                  <c:v>1850</c:v>
                </c:pt>
                <c:pt idx="1044" formatCode="#,##0">
                  <c:v>1850</c:v>
                </c:pt>
                <c:pt idx="1045" formatCode="#,##0">
                  <c:v>2150</c:v>
                </c:pt>
                <c:pt idx="1046" formatCode="#,##0">
                  <c:v>2150</c:v>
                </c:pt>
                <c:pt idx="1047" formatCode="#,##0">
                  <c:v>2150</c:v>
                </c:pt>
                <c:pt idx="1048" formatCode="#,##0">
                  <c:v>2150</c:v>
                </c:pt>
                <c:pt idx="1049" formatCode="#,##0">
                  <c:v>2150</c:v>
                </c:pt>
                <c:pt idx="1050" formatCode="#,##0">
                  <c:v>2150</c:v>
                </c:pt>
                <c:pt idx="1051" formatCode="#,##0">
                  <c:v>2150</c:v>
                </c:pt>
                <c:pt idx="1052" formatCode="#,##0">
                  <c:v>2150</c:v>
                </c:pt>
                <c:pt idx="1053" formatCode="#,##0">
                  <c:v>2150</c:v>
                </c:pt>
                <c:pt idx="1054" formatCode="#,##0">
                  <c:v>2150</c:v>
                </c:pt>
                <c:pt idx="1055" formatCode="#,##0">
                  <c:v>2150</c:v>
                </c:pt>
                <c:pt idx="1056" formatCode="#,##0">
                  <c:v>2150</c:v>
                </c:pt>
                <c:pt idx="1057" formatCode="#,##0">
                  <c:v>2150</c:v>
                </c:pt>
                <c:pt idx="1058" formatCode="#,##0">
                  <c:v>2150</c:v>
                </c:pt>
                <c:pt idx="1059" formatCode="#,##0">
                  <c:v>2150</c:v>
                </c:pt>
                <c:pt idx="1060" formatCode="#,##0">
                  <c:v>2150</c:v>
                </c:pt>
                <c:pt idx="1061" formatCode="#,##0">
                  <c:v>2150</c:v>
                </c:pt>
                <c:pt idx="1062" formatCode="#,##0">
                  <c:v>2150</c:v>
                </c:pt>
                <c:pt idx="1063" formatCode="#,##0">
                  <c:v>2150</c:v>
                </c:pt>
                <c:pt idx="1064" formatCode="#,##0">
                  <c:v>2150</c:v>
                </c:pt>
                <c:pt idx="1065" formatCode="#,##0">
                  <c:v>2150</c:v>
                </c:pt>
                <c:pt idx="1066" formatCode="#,##0">
                  <c:v>2150</c:v>
                </c:pt>
                <c:pt idx="1067" formatCode="#,##0">
                  <c:v>2150</c:v>
                </c:pt>
                <c:pt idx="1068" formatCode="#,##0">
                  <c:v>2150</c:v>
                </c:pt>
                <c:pt idx="1069" formatCode="#,##0">
                  <c:v>2150</c:v>
                </c:pt>
                <c:pt idx="1070" formatCode="#,##0">
                  <c:v>2150</c:v>
                </c:pt>
                <c:pt idx="1071" formatCode="#,##0">
                  <c:v>2150</c:v>
                </c:pt>
                <c:pt idx="1072" formatCode="#,##0">
                  <c:v>2150</c:v>
                </c:pt>
                <c:pt idx="1073" formatCode="#,##0">
                  <c:v>2150</c:v>
                </c:pt>
                <c:pt idx="1074" formatCode="#,##0">
                  <c:v>2150</c:v>
                </c:pt>
                <c:pt idx="1075" formatCode="#,##0">
                  <c:v>2150</c:v>
                </c:pt>
                <c:pt idx="1076" formatCode="#,##0">
                  <c:v>2150</c:v>
                </c:pt>
                <c:pt idx="1077" formatCode="#,##0">
                  <c:v>2150</c:v>
                </c:pt>
                <c:pt idx="1078" formatCode="#,##0">
                  <c:v>2150</c:v>
                </c:pt>
                <c:pt idx="1079" formatCode="#,##0">
                  <c:v>2150</c:v>
                </c:pt>
                <c:pt idx="1080" formatCode="#,##0">
                  <c:v>2150</c:v>
                </c:pt>
                <c:pt idx="1081" formatCode="#,##0">
                  <c:v>2150</c:v>
                </c:pt>
                <c:pt idx="1082" formatCode="#,##0">
                  <c:v>2150</c:v>
                </c:pt>
                <c:pt idx="1083" formatCode="#,##0">
                  <c:v>2150</c:v>
                </c:pt>
                <c:pt idx="1084" formatCode="#,##0">
                  <c:v>2150</c:v>
                </c:pt>
                <c:pt idx="1085" formatCode="#,##0">
                  <c:v>2150</c:v>
                </c:pt>
                <c:pt idx="1086" formatCode="#,##0">
                  <c:v>2150</c:v>
                </c:pt>
                <c:pt idx="1087" formatCode="#,##0">
                  <c:v>2150</c:v>
                </c:pt>
                <c:pt idx="1088" formatCode="#,##0">
                  <c:v>2150</c:v>
                </c:pt>
                <c:pt idx="1089" formatCode="#,##0">
                  <c:v>2150</c:v>
                </c:pt>
                <c:pt idx="1090" formatCode="#,##0">
                  <c:v>2150</c:v>
                </c:pt>
                <c:pt idx="1091" formatCode="#,##0">
                  <c:v>2150</c:v>
                </c:pt>
                <c:pt idx="1092" formatCode="#,##0">
                  <c:v>2150</c:v>
                </c:pt>
                <c:pt idx="1093" formatCode="#,##0">
                  <c:v>2150</c:v>
                </c:pt>
                <c:pt idx="1094" formatCode="#,##0">
                  <c:v>2150</c:v>
                </c:pt>
                <c:pt idx="1095" formatCode="#,##0">
                  <c:v>2150</c:v>
                </c:pt>
                <c:pt idx="1096" formatCode="#,##0">
                  <c:v>2150</c:v>
                </c:pt>
                <c:pt idx="1097" formatCode="#,##0">
                  <c:v>2150</c:v>
                </c:pt>
                <c:pt idx="1098" formatCode="#,##0">
                  <c:v>2150</c:v>
                </c:pt>
                <c:pt idx="1099" formatCode="#,##0">
                  <c:v>2150</c:v>
                </c:pt>
                <c:pt idx="1100" formatCode="#,##0">
                  <c:v>2150</c:v>
                </c:pt>
                <c:pt idx="1101" formatCode="#,##0">
                  <c:v>2150</c:v>
                </c:pt>
                <c:pt idx="1102" formatCode="#,##0">
                  <c:v>2150</c:v>
                </c:pt>
                <c:pt idx="1103" formatCode="#,##0">
                  <c:v>2150</c:v>
                </c:pt>
                <c:pt idx="1104" formatCode="#,##0">
                  <c:v>2150</c:v>
                </c:pt>
                <c:pt idx="1105" formatCode="#,##0">
                  <c:v>2150</c:v>
                </c:pt>
                <c:pt idx="1106" formatCode="#,##0">
                  <c:v>2150</c:v>
                </c:pt>
                <c:pt idx="1107" formatCode="#,##0">
                  <c:v>2150</c:v>
                </c:pt>
                <c:pt idx="1108" formatCode="#,##0">
                  <c:v>2150</c:v>
                </c:pt>
                <c:pt idx="1109" formatCode="#,##0">
                  <c:v>2150</c:v>
                </c:pt>
                <c:pt idx="1110" formatCode="#,##0">
                  <c:v>2150</c:v>
                </c:pt>
                <c:pt idx="1111" formatCode="#,##0">
                  <c:v>2150</c:v>
                </c:pt>
                <c:pt idx="1112" formatCode="#,##0">
                  <c:v>2150</c:v>
                </c:pt>
                <c:pt idx="1113" formatCode="#,##0">
                  <c:v>2150</c:v>
                </c:pt>
                <c:pt idx="1114" formatCode="#,##0">
                  <c:v>2150</c:v>
                </c:pt>
                <c:pt idx="1115" formatCode="#,##0">
                  <c:v>2150</c:v>
                </c:pt>
                <c:pt idx="1116" formatCode="#,##0">
                  <c:v>2150</c:v>
                </c:pt>
                <c:pt idx="1117" formatCode="#,##0">
                  <c:v>2150</c:v>
                </c:pt>
                <c:pt idx="1118" formatCode="#,##0">
                  <c:v>2150</c:v>
                </c:pt>
                <c:pt idx="1119" formatCode="#,##0">
                  <c:v>2150</c:v>
                </c:pt>
                <c:pt idx="1120" formatCode="#,##0">
                  <c:v>2150</c:v>
                </c:pt>
                <c:pt idx="1121" formatCode="#,##0">
                  <c:v>2150</c:v>
                </c:pt>
                <c:pt idx="1122" formatCode="#,##0">
                  <c:v>2150</c:v>
                </c:pt>
                <c:pt idx="1123" formatCode="#,##0">
                  <c:v>2150</c:v>
                </c:pt>
                <c:pt idx="1124" formatCode="#,##0">
                  <c:v>2150</c:v>
                </c:pt>
                <c:pt idx="1125" formatCode="#,##0">
                  <c:v>2150</c:v>
                </c:pt>
                <c:pt idx="1126" formatCode="#,##0">
                  <c:v>2150</c:v>
                </c:pt>
                <c:pt idx="1127" formatCode="#,##0">
                  <c:v>2150</c:v>
                </c:pt>
                <c:pt idx="1128" formatCode="#,##0">
                  <c:v>2150</c:v>
                </c:pt>
                <c:pt idx="1129" formatCode="#,##0">
                  <c:v>2150</c:v>
                </c:pt>
                <c:pt idx="1130" formatCode="#,##0">
                  <c:v>2150</c:v>
                </c:pt>
                <c:pt idx="1131" formatCode="#,##0">
                  <c:v>2150</c:v>
                </c:pt>
                <c:pt idx="1132" formatCode="#,##0">
                  <c:v>2150</c:v>
                </c:pt>
                <c:pt idx="1133" formatCode="#,##0">
                  <c:v>2150</c:v>
                </c:pt>
                <c:pt idx="1134" formatCode="#,##0">
                  <c:v>2150</c:v>
                </c:pt>
                <c:pt idx="1135" formatCode="#,##0">
                  <c:v>2150</c:v>
                </c:pt>
                <c:pt idx="1136" formatCode="#,##0">
                  <c:v>2150</c:v>
                </c:pt>
                <c:pt idx="1137" formatCode="#,##0">
                  <c:v>2150</c:v>
                </c:pt>
                <c:pt idx="1138" formatCode="#,##0">
                  <c:v>2150</c:v>
                </c:pt>
                <c:pt idx="1139" formatCode="#,##0">
                  <c:v>2150</c:v>
                </c:pt>
                <c:pt idx="1140" formatCode="#,##0">
                  <c:v>2150</c:v>
                </c:pt>
                <c:pt idx="1141" formatCode="#,##0">
                  <c:v>2150</c:v>
                </c:pt>
                <c:pt idx="1142" formatCode="#,##0">
                  <c:v>2150</c:v>
                </c:pt>
                <c:pt idx="1143" formatCode="#,##0">
                  <c:v>2150</c:v>
                </c:pt>
                <c:pt idx="1144" formatCode="#,##0">
                  <c:v>2150</c:v>
                </c:pt>
                <c:pt idx="1145" formatCode="#,##0">
                  <c:v>2150</c:v>
                </c:pt>
                <c:pt idx="1146" formatCode="#,##0">
                  <c:v>2150</c:v>
                </c:pt>
                <c:pt idx="1147" formatCode="#,##0">
                  <c:v>2150</c:v>
                </c:pt>
                <c:pt idx="1148" formatCode="#,##0">
                  <c:v>2150</c:v>
                </c:pt>
                <c:pt idx="1149" formatCode="#,##0">
                  <c:v>2150</c:v>
                </c:pt>
                <c:pt idx="1150" formatCode="#,##0">
                  <c:v>2150</c:v>
                </c:pt>
                <c:pt idx="1151" formatCode="#,##0">
                  <c:v>2150</c:v>
                </c:pt>
                <c:pt idx="1152" formatCode="#,##0">
                  <c:v>2150</c:v>
                </c:pt>
                <c:pt idx="1153" formatCode="#,##0">
                  <c:v>2150</c:v>
                </c:pt>
                <c:pt idx="1154" formatCode="#,##0">
                  <c:v>2150</c:v>
                </c:pt>
                <c:pt idx="1155" formatCode="#,##0">
                  <c:v>2150</c:v>
                </c:pt>
                <c:pt idx="1156" formatCode="#,##0">
                  <c:v>2150</c:v>
                </c:pt>
                <c:pt idx="1157" formatCode="#,##0">
                  <c:v>2150</c:v>
                </c:pt>
                <c:pt idx="1158" formatCode="#,##0">
                  <c:v>2150</c:v>
                </c:pt>
                <c:pt idx="1159" formatCode="#,##0">
                  <c:v>2150</c:v>
                </c:pt>
                <c:pt idx="1160" formatCode="#,##0">
                  <c:v>2150</c:v>
                </c:pt>
                <c:pt idx="1161" formatCode="#,##0">
                  <c:v>2150</c:v>
                </c:pt>
                <c:pt idx="1162" formatCode="#,##0">
                  <c:v>2150</c:v>
                </c:pt>
                <c:pt idx="1163" formatCode="#,##0">
                  <c:v>2150</c:v>
                </c:pt>
                <c:pt idx="1164" formatCode="#,##0">
                  <c:v>2150</c:v>
                </c:pt>
                <c:pt idx="1165" formatCode="#,##0">
                  <c:v>2150</c:v>
                </c:pt>
                <c:pt idx="1166" formatCode="#,##0">
                  <c:v>2150</c:v>
                </c:pt>
                <c:pt idx="1167" formatCode="#,##0">
                  <c:v>2150</c:v>
                </c:pt>
                <c:pt idx="1168" formatCode="#,##0">
                  <c:v>2150</c:v>
                </c:pt>
                <c:pt idx="1169" formatCode="#,##0">
                  <c:v>2150</c:v>
                </c:pt>
                <c:pt idx="1170" formatCode="#,##0">
                  <c:v>2150</c:v>
                </c:pt>
                <c:pt idx="1171" formatCode="#,##0">
                  <c:v>2150</c:v>
                </c:pt>
                <c:pt idx="1172" formatCode="#,##0">
                  <c:v>2150</c:v>
                </c:pt>
                <c:pt idx="1173" formatCode="#,##0">
                  <c:v>2150</c:v>
                </c:pt>
                <c:pt idx="1174" formatCode="#,##0">
                  <c:v>2150</c:v>
                </c:pt>
                <c:pt idx="1175" formatCode="#,##0">
                  <c:v>2150</c:v>
                </c:pt>
                <c:pt idx="1176" formatCode="#,##0">
                  <c:v>2150</c:v>
                </c:pt>
                <c:pt idx="1177" formatCode="#,##0">
                  <c:v>2150</c:v>
                </c:pt>
                <c:pt idx="1178" formatCode="#,##0">
                  <c:v>2150</c:v>
                </c:pt>
                <c:pt idx="1179" formatCode="#,##0">
                  <c:v>2150</c:v>
                </c:pt>
                <c:pt idx="1180" formatCode="#,##0">
                  <c:v>2150</c:v>
                </c:pt>
                <c:pt idx="1181" formatCode="#,##0">
                  <c:v>2150</c:v>
                </c:pt>
                <c:pt idx="1182" formatCode="#,##0">
                  <c:v>2150</c:v>
                </c:pt>
                <c:pt idx="1183" formatCode="#,##0">
                  <c:v>2150</c:v>
                </c:pt>
                <c:pt idx="1184" formatCode="#,##0">
                  <c:v>2150</c:v>
                </c:pt>
                <c:pt idx="1185" formatCode="#,##0">
                  <c:v>2150</c:v>
                </c:pt>
                <c:pt idx="1186" formatCode="#,##0">
                  <c:v>2150</c:v>
                </c:pt>
                <c:pt idx="1187" formatCode="#,##0">
                  <c:v>2150</c:v>
                </c:pt>
                <c:pt idx="1188" formatCode="#,##0">
                  <c:v>2150</c:v>
                </c:pt>
                <c:pt idx="1189" formatCode="#,##0">
                  <c:v>2150</c:v>
                </c:pt>
                <c:pt idx="1190" formatCode="#,##0">
                  <c:v>2150</c:v>
                </c:pt>
                <c:pt idx="1191" formatCode="#,##0">
                  <c:v>2150</c:v>
                </c:pt>
                <c:pt idx="1192" formatCode="#,##0">
                  <c:v>2150</c:v>
                </c:pt>
                <c:pt idx="1193" formatCode="#,##0">
                  <c:v>2150</c:v>
                </c:pt>
                <c:pt idx="1194" formatCode="#,##0">
                  <c:v>2150</c:v>
                </c:pt>
                <c:pt idx="1195" formatCode="#,##0">
                  <c:v>2150</c:v>
                </c:pt>
                <c:pt idx="1196" formatCode="#,##0">
                  <c:v>2150</c:v>
                </c:pt>
                <c:pt idx="1197" formatCode="#,##0">
                  <c:v>2150</c:v>
                </c:pt>
                <c:pt idx="1198" formatCode="#,##0">
                  <c:v>2150</c:v>
                </c:pt>
                <c:pt idx="1199" formatCode="#,##0">
                  <c:v>2150</c:v>
                </c:pt>
                <c:pt idx="1200" formatCode="#,##0">
                  <c:v>2150</c:v>
                </c:pt>
                <c:pt idx="1201" formatCode="#,##0">
                  <c:v>2150</c:v>
                </c:pt>
                <c:pt idx="1202" formatCode="#,##0">
                  <c:v>2150</c:v>
                </c:pt>
                <c:pt idx="1203" formatCode="#,##0">
                  <c:v>2150</c:v>
                </c:pt>
                <c:pt idx="1204" formatCode="#,##0">
                  <c:v>2150</c:v>
                </c:pt>
                <c:pt idx="1205" formatCode="#,##0">
                  <c:v>2150</c:v>
                </c:pt>
                <c:pt idx="1206" formatCode="#,##0">
                  <c:v>2150</c:v>
                </c:pt>
                <c:pt idx="1207" formatCode="#,##0">
                  <c:v>2150</c:v>
                </c:pt>
                <c:pt idx="1208" formatCode="#,##0">
                  <c:v>2150</c:v>
                </c:pt>
                <c:pt idx="1209" formatCode="#,##0">
                  <c:v>2150</c:v>
                </c:pt>
                <c:pt idx="1210" formatCode="#,##0">
                  <c:v>2150</c:v>
                </c:pt>
                <c:pt idx="1211" formatCode="#,##0">
                  <c:v>2150</c:v>
                </c:pt>
                <c:pt idx="1212" formatCode="#,##0">
                  <c:v>2450</c:v>
                </c:pt>
                <c:pt idx="1213" formatCode="#,##0">
                  <c:v>2450</c:v>
                </c:pt>
                <c:pt idx="1214" formatCode="#,##0">
                  <c:v>2450</c:v>
                </c:pt>
                <c:pt idx="1215" formatCode="#,##0">
                  <c:v>2450</c:v>
                </c:pt>
                <c:pt idx="1216" formatCode="#,##0">
                  <c:v>2450</c:v>
                </c:pt>
                <c:pt idx="1217" formatCode="#,##0">
                  <c:v>2450</c:v>
                </c:pt>
                <c:pt idx="1218" formatCode="#,##0">
                  <c:v>2450</c:v>
                </c:pt>
                <c:pt idx="1219" formatCode="#,##0">
                  <c:v>2450</c:v>
                </c:pt>
                <c:pt idx="1220" formatCode="#,##0">
                  <c:v>2450</c:v>
                </c:pt>
                <c:pt idx="1221" formatCode="#,##0">
                  <c:v>2450</c:v>
                </c:pt>
                <c:pt idx="1222" formatCode="#,##0">
                  <c:v>2450</c:v>
                </c:pt>
                <c:pt idx="1223" formatCode="#,##0">
                  <c:v>2450</c:v>
                </c:pt>
                <c:pt idx="1224" formatCode="#,##0">
                  <c:v>2450</c:v>
                </c:pt>
                <c:pt idx="1225" formatCode="#,##0">
                  <c:v>2450</c:v>
                </c:pt>
                <c:pt idx="1226" formatCode="#,##0">
                  <c:v>2450</c:v>
                </c:pt>
                <c:pt idx="1227" formatCode="#,##0">
                  <c:v>2450</c:v>
                </c:pt>
                <c:pt idx="1228" formatCode="#,##0">
                  <c:v>2450</c:v>
                </c:pt>
                <c:pt idx="1229" formatCode="#,##0">
                  <c:v>2450</c:v>
                </c:pt>
                <c:pt idx="1230" formatCode="#,##0">
                  <c:v>2450</c:v>
                </c:pt>
                <c:pt idx="1231" formatCode="#,##0">
                  <c:v>2450</c:v>
                </c:pt>
                <c:pt idx="1232" formatCode="#,##0">
                  <c:v>2450</c:v>
                </c:pt>
                <c:pt idx="1233" formatCode="#,##0">
                  <c:v>2450</c:v>
                </c:pt>
                <c:pt idx="1234" formatCode="#,##0">
                  <c:v>2450</c:v>
                </c:pt>
                <c:pt idx="1235" formatCode="#,##0">
                  <c:v>2450</c:v>
                </c:pt>
                <c:pt idx="1236" formatCode="#,##0">
                  <c:v>2450</c:v>
                </c:pt>
                <c:pt idx="1237" formatCode="#,##0">
                  <c:v>2450</c:v>
                </c:pt>
                <c:pt idx="1238" formatCode="#,##0">
                  <c:v>2450</c:v>
                </c:pt>
                <c:pt idx="1239" formatCode="#,##0">
                  <c:v>2450</c:v>
                </c:pt>
                <c:pt idx="1240" formatCode="#,##0">
                  <c:v>2450</c:v>
                </c:pt>
                <c:pt idx="1241" formatCode="#,##0">
                  <c:v>2450</c:v>
                </c:pt>
                <c:pt idx="1242" formatCode="#,##0">
                  <c:v>2450</c:v>
                </c:pt>
                <c:pt idx="1243" formatCode="#,##0">
                  <c:v>2450</c:v>
                </c:pt>
                <c:pt idx="1244" formatCode="#,##0">
                  <c:v>2450</c:v>
                </c:pt>
                <c:pt idx="1245" formatCode="#,##0">
                  <c:v>2450</c:v>
                </c:pt>
                <c:pt idx="1246" formatCode="#,##0">
                  <c:v>2450</c:v>
                </c:pt>
                <c:pt idx="1247" formatCode="#,##0">
                  <c:v>2450</c:v>
                </c:pt>
                <c:pt idx="1248" formatCode="#,##0">
                  <c:v>2450</c:v>
                </c:pt>
                <c:pt idx="1249" formatCode="#,##0">
                  <c:v>2450</c:v>
                </c:pt>
                <c:pt idx="1250" formatCode="#,##0">
                  <c:v>2450</c:v>
                </c:pt>
                <c:pt idx="1251" formatCode="#,##0">
                  <c:v>2450</c:v>
                </c:pt>
                <c:pt idx="1252" formatCode="#,##0">
                  <c:v>2450</c:v>
                </c:pt>
                <c:pt idx="1253" formatCode="#,##0">
                  <c:v>2450</c:v>
                </c:pt>
                <c:pt idx="1254" formatCode="#,##0">
                  <c:v>2450</c:v>
                </c:pt>
                <c:pt idx="1255" formatCode="#,##0">
                  <c:v>2450</c:v>
                </c:pt>
                <c:pt idx="1256" formatCode="#,##0">
                  <c:v>2450</c:v>
                </c:pt>
                <c:pt idx="1257" formatCode="#,##0">
                  <c:v>2450</c:v>
                </c:pt>
                <c:pt idx="1258" formatCode="#,##0">
                  <c:v>2450</c:v>
                </c:pt>
                <c:pt idx="1259" formatCode="#,##0">
                  <c:v>2450</c:v>
                </c:pt>
                <c:pt idx="1260" formatCode="#,##0">
                  <c:v>2450</c:v>
                </c:pt>
                <c:pt idx="1261" formatCode="#,##0">
                  <c:v>2450</c:v>
                </c:pt>
                <c:pt idx="1262" formatCode="#,##0">
                  <c:v>2450</c:v>
                </c:pt>
                <c:pt idx="1263" formatCode="#,##0">
                  <c:v>2450</c:v>
                </c:pt>
                <c:pt idx="1264" formatCode="#,##0">
                  <c:v>2450</c:v>
                </c:pt>
                <c:pt idx="1265" formatCode="#,##0">
                  <c:v>2450</c:v>
                </c:pt>
                <c:pt idx="1266" formatCode="#,##0">
                  <c:v>2450</c:v>
                </c:pt>
                <c:pt idx="1267" formatCode="#,##0">
                  <c:v>2450</c:v>
                </c:pt>
                <c:pt idx="1268" formatCode="#,##0">
                  <c:v>2450</c:v>
                </c:pt>
                <c:pt idx="1269" formatCode="#,##0">
                  <c:v>2450</c:v>
                </c:pt>
                <c:pt idx="1270" formatCode="#,##0">
                  <c:v>2450</c:v>
                </c:pt>
                <c:pt idx="1271" formatCode="#,##0">
                  <c:v>2450</c:v>
                </c:pt>
                <c:pt idx="1272" formatCode="#,##0">
                  <c:v>2450</c:v>
                </c:pt>
                <c:pt idx="1273" formatCode="#,##0">
                  <c:v>2450</c:v>
                </c:pt>
                <c:pt idx="1274" formatCode="#,##0">
                  <c:v>2450</c:v>
                </c:pt>
                <c:pt idx="1275" formatCode="#,##0">
                  <c:v>2450</c:v>
                </c:pt>
                <c:pt idx="1276" formatCode="#,##0">
                  <c:v>2450</c:v>
                </c:pt>
                <c:pt idx="1277" formatCode="#,##0">
                  <c:v>2450</c:v>
                </c:pt>
                <c:pt idx="1278" formatCode="#,##0">
                  <c:v>2450</c:v>
                </c:pt>
                <c:pt idx="1279" formatCode="#,##0">
                  <c:v>2450</c:v>
                </c:pt>
                <c:pt idx="1280" formatCode="#,##0">
                  <c:v>2450</c:v>
                </c:pt>
                <c:pt idx="1281" formatCode="#,##0">
                  <c:v>2450</c:v>
                </c:pt>
                <c:pt idx="1282" formatCode="#,##0">
                  <c:v>2450</c:v>
                </c:pt>
                <c:pt idx="1283" formatCode="#,##0">
                  <c:v>2450</c:v>
                </c:pt>
                <c:pt idx="1284" formatCode="#,##0">
                  <c:v>2450</c:v>
                </c:pt>
                <c:pt idx="1285" formatCode="#,##0">
                  <c:v>2450</c:v>
                </c:pt>
                <c:pt idx="1286" formatCode="#,##0">
                  <c:v>2450</c:v>
                </c:pt>
                <c:pt idx="1287" formatCode="#,##0">
                  <c:v>2450</c:v>
                </c:pt>
                <c:pt idx="1288" formatCode="#,##0">
                  <c:v>2450</c:v>
                </c:pt>
                <c:pt idx="1289" formatCode="#,##0">
                  <c:v>2450</c:v>
                </c:pt>
                <c:pt idx="1290" formatCode="#,##0">
                  <c:v>2450</c:v>
                </c:pt>
                <c:pt idx="1291" formatCode="#,##0">
                  <c:v>2450</c:v>
                </c:pt>
                <c:pt idx="1292" formatCode="#,##0">
                  <c:v>2450</c:v>
                </c:pt>
                <c:pt idx="1293" formatCode="#,##0">
                  <c:v>2450</c:v>
                </c:pt>
                <c:pt idx="1294" formatCode="#,##0">
                  <c:v>2450</c:v>
                </c:pt>
                <c:pt idx="1295" formatCode="#,##0">
                  <c:v>2450</c:v>
                </c:pt>
                <c:pt idx="1296" formatCode="#,##0">
                  <c:v>2450</c:v>
                </c:pt>
                <c:pt idx="1297" formatCode="#,##0">
                  <c:v>2450</c:v>
                </c:pt>
                <c:pt idx="1298" formatCode="#,##0">
                  <c:v>2450</c:v>
                </c:pt>
                <c:pt idx="1299" formatCode="#,##0">
                  <c:v>2450</c:v>
                </c:pt>
                <c:pt idx="1300" formatCode="#,##0">
                  <c:v>2450</c:v>
                </c:pt>
                <c:pt idx="1301" formatCode="#,##0">
                  <c:v>2450</c:v>
                </c:pt>
                <c:pt idx="1302" formatCode="#,##0">
                  <c:v>2450</c:v>
                </c:pt>
                <c:pt idx="1303" formatCode="#,##0">
                  <c:v>2450</c:v>
                </c:pt>
                <c:pt idx="1304" formatCode="#,##0">
                  <c:v>2450</c:v>
                </c:pt>
                <c:pt idx="1305" formatCode="#,##0">
                  <c:v>2450</c:v>
                </c:pt>
                <c:pt idx="1306" formatCode="#,##0">
                  <c:v>2450</c:v>
                </c:pt>
                <c:pt idx="1307" formatCode="#,##0">
                  <c:v>2450</c:v>
                </c:pt>
                <c:pt idx="1308" formatCode="#,##0">
                  <c:v>2450</c:v>
                </c:pt>
                <c:pt idx="1309" formatCode="#,##0">
                  <c:v>2450</c:v>
                </c:pt>
                <c:pt idx="1310" formatCode="#,##0">
                  <c:v>2450</c:v>
                </c:pt>
                <c:pt idx="1311" formatCode="#,##0">
                  <c:v>2450</c:v>
                </c:pt>
                <c:pt idx="1312" formatCode="#,##0">
                  <c:v>2450</c:v>
                </c:pt>
                <c:pt idx="1313" formatCode="#,##0">
                  <c:v>2450</c:v>
                </c:pt>
                <c:pt idx="1314" formatCode="#,##0">
                  <c:v>2450</c:v>
                </c:pt>
                <c:pt idx="1315" formatCode="#,##0">
                  <c:v>2450</c:v>
                </c:pt>
                <c:pt idx="1316" formatCode="#,##0">
                  <c:v>2450</c:v>
                </c:pt>
                <c:pt idx="1317" formatCode="#,##0">
                  <c:v>2450</c:v>
                </c:pt>
                <c:pt idx="1318" formatCode="#,##0">
                  <c:v>2450</c:v>
                </c:pt>
                <c:pt idx="1319" formatCode="#,##0">
                  <c:v>2450</c:v>
                </c:pt>
                <c:pt idx="1320" formatCode="#,##0">
                  <c:v>2450</c:v>
                </c:pt>
                <c:pt idx="1321" formatCode="#,##0">
                  <c:v>2450</c:v>
                </c:pt>
                <c:pt idx="1322" formatCode="#,##0">
                  <c:v>2450</c:v>
                </c:pt>
                <c:pt idx="1323" formatCode="#,##0">
                  <c:v>2450</c:v>
                </c:pt>
                <c:pt idx="1324" formatCode="#,##0">
                  <c:v>2450</c:v>
                </c:pt>
                <c:pt idx="1325" formatCode="#,##0">
                  <c:v>2450</c:v>
                </c:pt>
                <c:pt idx="1326" formatCode="#,##0">
                  <c:v>2450</c:v>
                </c:pt>
                <c:pt idx="1327" formatCode="#,##0">
                  <c:v>2450</c:v>
                </c:pt>
                <c:pt idx="1328" formatCode="#,##0">
                  <c:v>2450</c:v>
                </c:pt>
                <c:pt idx="1329" formatCode="#,##0">
                  <c:v>2450</c:v>
                </c:pt>
                <c:pt idx="1330" formatCode="#,##0">
                  <c:v>2450</c:v>
                </c:pt>
                <c:pt idx="1331" formatCode="#,##0">
                  <c:v>2450</c:v>
                </c:pt>
                <c:pt idx="1332" formatCode="#,##0">
                  <c:v>2450</c:v>
                </c:pt>
                <c:pt idx="1333" formatCode="#,##0">
                  <c:v>2450</c:v>
                </c:pt>
                <c:pt idx="1334" formatCode="#,##0">
                  <c:v>2450</c:v>
                </c:pt>
                <c:pt idx="1335" formatCode="#,##0">
                  <c:v>2450</c:v>
                </c:pt>
                <c:pt idx="1336" formatCode="#,##0">
                  <c:v>2450</c:v>
                </c:pt>
                <c:pt idx="1337" formatCode="#,##0">
                  <c:v>2450</c:v>
                </c:pt>
                <c:pt idx="1338" formatCode="#,##0">
                  <c:v>2450</c:v>
                </c:pt>
                <c:pt idx="1339" formatCode="#,##0">
                  <c:v>2450</c:v>
                </c:pt>
                <c:pt idx="1340" formatCode="#,##0">
                  <c:v>2450</c:v>
                </c:pt>
                <c:pt idx="1341" formatCode="#,##0">
                  <c:v>2450</c:v>
                </c:pt>
                <c:pt idx="1342" formatCode="#,##0">
                  <c:v>2450</c:v>
                </c:pt>
                <c:pt idx="1343" formatCode="#,##0">
                  <c:v>2450</c:v>
                </c:pt>
                <c:pt idx="1344" formatCode="#,##0">
                  <c:v>2450</c:v>
                </c:pt>
                <c:pt idx="1345" formatCode="#,##0">
                  <c:v>2450</c:v>
                </c:pt>
                <c:pt idx="1346" formatCode="#,##0">
                  <c:v>2450</c:v>
                </c:pt>
                <c:pt idx="1347" formatCode="#,##0">
                  <c:v>2450</c:v>
                </c:pt>
                <c:pt idx="1348" formatCode="#,##0">
                  <c:v>2450</c:v>
                </c:pt>
                <c:pt idx="1349" formatCode="#,##0">
                  <c:v>2450</c:v>
                </c:pt>
                <c:pt idx="1350" formatCode="#,##0">
                  <c:v>2450</c:v>
                </c:pt>
                <c:pt idx="1351" formatCode="#,##0">
                  <c:v>2450</c:v>
                </c:pt>
                <c:pt idx="1352" formatCode="#,##0">
                  <c:v>2450</c:v>
                </c:pt>
                <c:pt idx="1353" formatCode="#,##0">
                  <c:v>2450</c:v>
                </c:pt>
                <c:pt idx="1354" formatCode="#,##0">
                  <c:v>2450</c:v>
                </c:pt>
                <c:pt idx="1355" formatCode="#,##0">
                  <c:v>2450</c:v>
                </c:pt>
                <c:pt idx="1356" formatCode="#,##0">
                  <c:v>2450</c:v>
                </c:pt>
                <c:pt idx="1357" formatCode="#,##0">
                  <c:v>2450</c:v>
                </c:pt>
                <c:pt idx="1358" formatCode="#,##0">
                  <c:v>2450</c:v>
                </c:pt>
                <c:pt idx="1359" formatCode="#,##0">
                  <c:v>2450</c:v>
                </c:pt>
                <c:pt idx="1360" formatCode="#,##0">
                  <c:v>2450</c:v>
                </c:pt>
                <c:pt idx="1361" formatCode="#,##0">
                  <c:v>2450</c:v>
                </c:pt>
                <c:pt idx="1362" formatCode="#,##0">
                  <c:v>2450</c:v>
                </c:pt>
                <c:pt idx="1363" formatCode="#,##0">
                  <c:v>2450</c:v>
                </c:pt>
                <c:pt idx="1364" formatCode="#,##0">
                  <c:v>2450</c:v>
                </c:pt>
                <c:pt idx="1365" formatCode="#,##0">
                  <c:v>2450</c:v>
                </c:pt>
                <c:pt idx="1366" formatCode="#,##0">
                  <c:v>2450</c:v>
                </c:pt>
                <c:pt idx="1367" formatCode="#,##0">
                  <c:v>2450</c:v>
                </c:pt>
                <c:pt idx="1368" formatCode="#,##0">
                  <c:v>2450</c:v>
                </c:pt>
                <c:pt idx="1369" formatCode="#,##0">
                  <c:v>2450</c:v>
                </c:pt>
                <c:pt idx="1370" formatCode="#,##0">
                  <c:v>2450</c:v>
                </c:pt>
                <c:pt idx="1371" formatCode="#,##0">
                  <c:v>2450</c:v>
                </c:pt>
                <c:pt idx="1372" formatCode="#,##0">
                  <c:v>2450</c:v>
                </c:pt>
                <c:pt idx="1373" formatCode="#,##0">
                  <c:v>2450</c:v>
                </c:pt>
                <c:pt idx="1374" formatCode="#,##0">
                  <c:v>2450</c:v>
                </c:pt>
                <c:pt idx="1375" formatCode="#,##0">
                  <c:v>2450</c:v>
                </c:pt>
                <c:pt idx="1376" formatCode="#,##0">
                  <c:v>2450</c:v>
                </c:pt>
                <c:pt idx="1377" formatCode="#,##0">
                  <c:v>2450</c:v>
                </c:pt>
                <c:pt idx="1378" formatCode="#,##0">
                  <c:v>2450</c:v>
                </c:pt>
                <c:pt idx="1379" formatCode="#,##0">
                  <c:v>2450</c:v>
                </c:pt>
                <c:pt idx="1380" formatCode="#,##0">
                  <c:v>2450</c:v>
                </c:pt>
                <c:pt idx="1381" formatCode="#,##0">
                  <c:v>2450</c:v>
                </c:pt>
                <c:pt idx="1382" formatCode="#,##0">
                  <c:v>2450</c:v>
                </c:pt>
                <c:pt idx="1383" formatCode="#,##0">
                  <c:v>2750</c:v>
                </c:pt>
                <c:pt idx="1384" formatCode="#,##0">
                  <c:v>2750</c:v>
                </c:pt>
                <c:pt idx="1385" formatCode="#,##0">
                  <c:v>2750</c:v>
                </c:pt>
                <c:pt idx="1386" formatCode="#,##0">
                  <c:v>2750</c:v>
                </c:pt>
                <c:pt idx="1387" formatCode="#,##0">
                  <c:v>2750</c:v>
                </c:pt>
                <c:pt idx="1388" formatCode="#,##0">
                  <c:v>2750</c:v>
                </c:pt>
                <c:pt idx="1389" formatCode="#,##0">
                  <c:v>2750</c:v>
                </c:pt>
                <c:pt idx="1390" formatCode="#,##0">
                  <c:v>2750</c:v>
                </c:pt>
                <c:pt idx="1391" formatCode="#,##0">
                  <c:v>2750</c:v>
                </c:pt>
                <c:pt idx="1392" formatCode="#,##0">
                  <c:v>2750</c:v>
                </c:pt>
                <c:pt idx="1393" formatCode="#,##0">
                  <c:v>2750</c:v>
                </c:pt>
                <c:pt idx="1394" formatCode="#,##0">
                  <c:v>2750</c:v>
                </c:pt>
                <c:pt idx="1395" formatCode="#,##0">
                  <c:v>2750</c:v>
                </c:pt>
                <c:pt idx="1396" formatCode="#,##0">
                  <c:v>2750</c:v>
                </c:pt>
                <c:pt idx="1397" formatCode="#,##0">
                  <c:v>2750</c:v>
                </c:pt>
                <c:pt idx="1398" formatCode="#,##0">
                  <c:v>2750</c:v>
                </c:pt>
                <c:pt idx="1399" formatCode="#,##0">
                  <c:v>2750</c:v>
                </c:pt>
                <c:pt idx="1400" formatCode="#,##0">
                  <c:v>2750</c:v>
                </c:pt>
                <c:pt idx="1401" formatCode="#,##0">
                  <c:v>2750</c:v>
                </c:pt>
                <c:pt idx="1402" formatCode="#,##0">
                  <c:v>2750</c:v>
                </c:pt>
                <c:pt idx="1403" formatCode="#,##0">
                  <c:v>2750</c:v>
                </c:pt>
                <c:pt idx="1404" formatCode="#,##0">
                  <c:v>2750</c:v>
                </c:pt>
                <c:pt idx="1405" formatCode="#,##0">
                  <c:v>2750</c:v>
                </c:pt>
                <c:pt idx="1406" formatCode="#,##0">
                  <c:v>2750</c:v>
                </c:pt>
                <c:pt idx="1407" formatCode="#,##0">
                  <c:v>2750</c:v>
                </c:pt>
                <c:pt idx="1408" formatCode="#,##0">
                  <c:v>2750</c:v>
                </c:pt>
                <c:pt idx="1409" formatCode="#,##0">
                  <c:v>2750</c:v>
                </c:pt>
                <c:pt idx="1410" formatCode="#,##0">
                  <c:v>2750</c:v>
                </c:pt>
                <c:pt idx="1411" formatCode="#,##0">
                  <c:v>2750</c:v>
                </c:pt>
                <c:pt idx="1412" formatCode="#,##0">
                  <c:v>2750</c:v>
                </c:pt>
                <c:pt idx="1413" formatCode="#,##0">
                  <c:v>2750</c:v>
                </c:pt>
                <c:pt idx="1414" formatCode="#,##0">
                  <c:v>2750</c:v>
                </c:pt>
                <c:pt idx="1415" formatCode="#,##0">
                  <c:v>2750</c:v>
                </c:pt>
                <c:pt idx="1416" formatCode="#,##0">
                  <c:v>2750</c:v>
                </c:pt>
                <c:pt idx="1417" formatCode="#,##0">
                  <c:v>2750</c:v>
                </c:pt>
                <c:pt idx="1418" formatCode="#,##0">
                  <c:v>2750</c:v>
                </c:pt>
                <c:pt idx="1419" formatCode="#,##0">
                  <c:v>2750</c:v>
                </c:pt>
                <c:pt idx="1420" formatCode="#,##0">
                  <c:v>2750</c:v>
                </c:pt>
                <c:pt idx="1421" formatCode="#,##0">
                  <c:v>2750</c:v>
                </c:pt>
                <c:pt idx="1422" formatCode="#,##0">
                  <c:v>2750</c:v>
                </c:pt>
                <c:pt idx="1423" formatCode="#,##0">
                  <c:v>2750</c:v>
                </c:pt>
                <c:pt idx="1424" formatCode="#,##0">
                  <c:v>2750</c:v>
                </c:pt>
                <c:pt idx="1425" formatCode="#,##0">
                  <c:v>2750</c:v>
                </c:pt>
                <c:pt idx="1426" formatCode="#,##0">
                  <c:v>2750</c:v>
                </c:pt>
                <c:pt idx="1427" formatCode="#,##0">
                  <c:v>2750</c:v>
                </c:pt>
                <c:pt idx="1428" formatCode="#,##0">
                  <c:v>2750</c:v>
                </c:pt>
                <c:pt idx="1429" formatCode="#,##0">
                  <c:v>2750</c:v>
                </c:pt>
                <c:pt idx="1430" formatCode="#,##0">
                  <c:v>2750</c:v>
                </c:pt>
                <c:pt idx="1431" formatCode="#,##0">
                  <c:v>2750</c:v>
                </c:pt>
                <c:pt idx="1432" formatCode="#,##0">
                  <c:v>2750</c:v>
                </c:pt>
                <c:pt idx="1433" formatCode="#,##0">
                  <c:v>2750</c:v>
                </c:pt>
                <c:pt idx="1434" formatCode="#,##0">
                  <c:v>2750</c:v>
                </c:pt>
                <c:pt idx="1435" formatCode="#,##0">
                  <c:v>2750</c:v>
                </c:pt>
                <c:pt idx="1436" formatCode="#,##0">
                  <c:v>2750</c:v>
                </c:pt>
                <c:pt idx="1437" formatCode="#,##0">
                  <c:v>2750</c:v>
                </c:pt>
                <c:pt idx="1438" formatCode="#,##0">
                  <c:v>2750</c:v>
                </c:pt>
                <c:pt idx="1439" formatCode="#,##0">
                  <c:v>2750</c:v>
                </c:pt>
                <c:pt idx="1440" formatCode="#,##0">
                  <c:v>2750</c:v>
                </c:pt>
                <c:pt idx="1441" formatCode="#,##0">
                  <c:v>2750</c:v>
                </c:pt>
                <c:pt idx="1442" formatCode="#,##0">
                  <c:v>2750</c:v>
                </c:pt>
                <c:pt idx="1443" formatCode="#,##0">
                  <c:v>2750</c:v>
                </c:pt>
                <c:pt idx="1444" formatCode="#,##0">
                  <c:v>2750</c:v>
                </c:pt>
                <c:pt idx="1445" formatCode="#,##0">
                  <c:v>2750</c:v>
                </c:pt>
                <c:pt idx="1446" formatCode="#,##0">
                  <c:v>2750</c:v>
                </c:pt>
                <c:pt idx="1447" formatCode="#,##0">
                  <c:v>2750</c:v>
                </c:pt>
                <c:pt idx="1448" formatCode="#,##0">
                  <c:v>2750</c:v>
                </c:pt>
                <c:pt idx="1449" formatCode="#,##0">
                  <c:v>2750</c:v>
                </c:pt>
                <c:pt idx="1450" formatCode="#,##0">
                  <c:v>2750</c:v>
                </c:pt>
                <c:pt idx="1451" formatCode="#,##0">
                  <c:v>2750</c:v>
                </c:pt>
                <c:pt idx="1452" formatCode="#,##0">
                  <c:v>2750</c:v>
                </c:pt>
                <c:pt idx="1453" formatCode="#,##0">
                  <c:v>2750</c:v>
                </c:pt>
                <c:pt idx="1454" formatCode="#,##0">
                  <c:v>2750</c:v>
                </c:pt>
                <c:pt idx="1455" formatCode="#,##0">
                  <c:v>2750</c:v>
                </c:pt>
                <c:pt idx="1456" formatCode="#,##0">
                  <c:v>2750</c:v>
                </c:pt>
                <c:pt idx="1457" formatCode="#,##0">
                  <c:v>2750</c:v>
                </c:pt>
                <c:pt idx="1458" formatCode="#,##0">
                  <c:v>2750</c:v>
                </c:pt>
                <c:pt idx="1459" formatCode="#,##0">
                  <c:v>2750</c:v>
                </c:pt>
                <c:pt idx="1460" formatCode="#,##0">
                  <c:v>2750</c:v>
                </c:pt>
                <c:pt idx="1461" formatCode="#,##0">
                  <c:v>2750</c:v>
                </c:pt>
                <c:pt idx="1462" formatCode="#,##0">
                  <c:v>2750</c:v>
                </c:pt>
                <c:pt idx="1463" formatCode="#,##0">
                  <c:v>2750</c:v>
                </c:pt>
                <c:pt idx="1464" formatCode="#,##0">
                  <c:v>2750</c:v>
                </c:pt>
                <c:pt idx="1465" formatCode="#,##0">
                  <c:v>2750</c:v>
                </c:pt>
                <c:pt idx="1466" formatCode="#,##0">
                  <c:v>2750</c:v>
                </c:pt>
                <c:pt idx="1467" formatCode="#,##0">
                  <c:v>2750</c:v>
                </c:pt>
                <c:pt idx="1468" formatCode="#,##0">
                  <c:v>2750</c:v>
                </c:pt>
                <c:pt idx="1469" formatCode="#,##0">
                  <c:v>2750</c:v>
                </c:pt>
                <c:pt idx="1470" formatCode="#,##0">
                  <c:v>2750</c:v>
                </c:pt>
                <c:pt idx="1471" formatCode="#,##0">
                  <c:v>2750</c:v>
                </c:pt>
                <c:pt idx="1472" formatCode="#,##0">
                  <c:v>2750</c:v>
                </c:pt>
                <c:pt idx="1473" formatCode="#,##0">
                  <c:v>2750</c:v>
                </c:pt>
                <c:pt idx="1474" formatCode="#,##0">
                  <c:v>2750</c:v>
                </c:pt>
                <c:pt idx="1475" formatCode="#,##0">
                  <c:v>2750</c:v>
                </c:pt>
                <c:pt idx="1476" formatCode="#,##0">
                  <c:v>2750</c:v>
                </c:pt>
                <c:pt idx="1477" formatCode="#,##0">
                  <c:v>2750</c:v>
                </c:pt>
                <c:pt idx="1478" formatCode="#,##0">
                  <c:v>2750</c:v>
                </c:pt>
                <c:pt idx="1479" formatCode="#,##0">
                  <c:v>2750</c:v>
                </c:pt>
                <c:pt idx="1480" formatCode="#,##0">
                  <c:v>2750</c:v>
                </c:pt>
                <c:pt idx="1481" formatCode="#,##0">
                  <c:v>2750</c:v>
                </c:pt>
                <c:pt idx="1482" formatCode="#,##0">
                  <c:v>2750</c:v>
                </c:pt>
                <c:pt idx="1483" formatCode="#,##0">
                  <c:v>2750</c:v>
                </c:pt>
                <c:pt idx="1484" formatCode="#,##0">
                  <c:v>2750</c:v>
                </c:pt>
                <c:pt idx="1485" formatCode="#,##0">
                  <c:v>2750</c:v>
                </c:pt>
                <c:pt idx="1486" formatCode="#,##0">
                  <c:v>2750</c:v>
                </c:pt>
                <c:pt idx="1487" formatCode="#,##0">
                  <c:v>2750</c:v>
                </c:pt>
                <c:pt idx="1488" formatCode="#,##0">
                  <c:v>2750</c:v>
                </c:pt>
                <c:pt idx="1489" formatCode="#,##0">
                  <c:v>2750</c:v>
                </c:pt>
                <c:pt idx="1490" formatCode="#,##0">
                  <c:v>2750</c:v>
                </c:pt>
                <c:pt idx="1491" formatCode="#,##0">
                  <c:v>2750</c:v>
                </c:pt>
                <c:pt idx="1492" formatCode="#,##0">
                  <c:v>2750</c:v>
                </c:pt>
                <c:pt idx="1493" formatCode="#,##0">
                  <c:v>2750</c:v>
                </c:pt>
                <c:pt idx="1494" formatCode="#,##0">
                  <c:v>2750</c:v>
                </c:pt>
                <c:pt idx="1495" formatCode="#,##0">
                  <c:v>2750</c:v>
                </c:pt>
                <c:pt idx="1496" formatCode="#,##0">
                  <c:v>2750</c:v>
                </c:pt>
                <c:pt idx="1497" formatCode="#,##0">
                  <c:v>2750</c:v>
                </c:pt>
                <c:pt idx="1498" formatCode="#,##0">
                  <c:v>2750</c:v>
                </c:pt>
                <c:pt idx="1499" formatCode="#,##0">
                  <c:v>2750</c:v>
                </c:pt>
                <c:pt idx="1500" formatCode="#,##0">
                  <c:v>2750</c:v>
                </c:pt>
                <c:pt idx="1501" formatCode="#,##0">
                  <c:v>2750</c:v>
                </c:pt>
                <c:pt idx="1502" formatCode="#,##0">
                  <c:v>2750</c:v>
                </c:pt>
                <c:pt idx="1503" formatCode="#,##0">
                  <c:v>2750</c:v>
                </c:pt>
                <c:pt idx="1504" formatCode="#,##0">
                  <c:v>2750</c:v>
                </c:pt>
                <c:pt idx="1505" formatCode="#,##0">
                  <c:v>2750</c:v>
                </c:pt>
                <c:pt idx="1506" formatCode="#,##0">
                  <c:v>2750</c:v>
                </c:pt>
                <c:pt idx="1507" formatCode="#,##0">
                  <c:v>2750</c:v>
                </c:pt>
                <c:pt idx="1508" formatCode="#,##0">
                  <c:v>2750</c:v>
                </c:pt>
                <c:pt idx="1509" formatCode="#,##0">
                  <c:v>2750</c:v>
                </c:pt>
                <c:pt idx="1510" formatCode="#,##0">
                  <c:v>2750</c:v>
                </c:pt>
                <c:pt idx="1511" formatCode="#,##0">
                  <c:v>2750</c:v>
                </c:pt>
                <c:pt idx="1512" formatCode="#,##0">
                  <c:v>2750</c:v>
                </c:pt>
                <c:pt idx="1513" formatCode="#,##0">
                  <c:v>2750</c:v>
                </c:pt>
                <c:pt idx="1514" formatCode="#,##0">
                  <c:v>2750</c:v>
                </c:pt>
                <c:pt idx="1515" formatCode="#,##0">
                  <c:v>2750</c:v>
                </c:pt>
                <c:pt idx="1516" formatCode="#,##0">
                  <c:v>2750</c:v>
                </c:pt>
                <c:pt idx="1517" formatCode="#,##0">
                  <c:v>2750</c:v>
                </c:pt>
                <c:pt idx="1518" formatCode="#,##0">
                  <c:v>2750</c:v>
                </c:pt>
                <c:pt idx="1519" formatCode="#,##0">
                  <c:v>2750</c:v>
                </c:pt>
                <c:pt idx="1520" formatCode="#,##0">
                  <c:v>2750</c:v>
                </c:pt>
                <c:pt idx="1521" formatCode="#,##0">
                  <c:v>2750</c:v>
                </c:pt>
                <c:pt idx="1522" formatCode="#,##0">
                  <c:v>2750</c:v>
                </c:pt>
                <c:pt idx="1523" formatCode="#,##0">
                  <c:v>2750</c:v>
                </c:pt>
                <c:pt idx="1524" formatCode="#,##0">
                  <c:v>2750</c:v>
                </c:pt>
                <c:pt idx="1525" formatCode="#,##0">
                  <c:v>2750</c:v>
                </c:pt>
                <c:pt idx="1526" formatCode="#,##0">
                  <c:v>2750</c:v>
                </c:pt>
                <c:pt idx="1527" formatCode="#,##0">
                  <c:v>2750</c:v>
                </c:pt>
                <c:pt idx="1528" formatCode="#,##0">
                  <c:v>2750</c:v>
                </c:pt>
                <c:pt idx="1529" formatCode="#,##0">
                  <c:v>2750</c:v>
                </c:pt>
                <c:pt idx="1530" formatCode="#,##0">
                  <c:v>2750</c:v>
                </c:pt>
                <c:pt idx="1531" formatCode="#,##0">
                  <c:v>2750</c:v>
                </c:pt>
                <c:pt idx="1532" formatCode="#,##0">
                  <c:v>2750</c:v>
                </c:pt>
                <c:pt idx="1533" formatCode="#,##0">
                  <c:v>2750</c:v>
                </c:pt>
                <c:pt idx="1534" formatCode="#,##0">
                  <c:v>2750</c:v>
                </c:pt>
                <c:pt idx="1535" formatCode="#,##0">
                  <c:v>2750</c:v>
                </c:pt>
                <c:pt idx="1536" formatCode="#,##0">
                  <c:v>2750</c:v>
                </c:pt>
                <c:pt idx="1537" formatCode="#,##0">
                  <c:v>2750</c:v>
                </c:pt>
                <c:pt idx="1538" formatCode="#,##0">
                  <c:v>2750</c:v>
                </c:pt>
                <c:pt idx="1539" formatCode="#,##0">
                  <c:v>2750</c:v>
                </c:pt>
                <c:pt idx="1540" formatCode="#,##0">
                  <c:v>2750</c:v>
                </c:pt>
                <c:pt idx="1541" formatCode="#,##0">
                  <c:v>2750</c:v>
                </c:pt>
                <c:pt idx="1542" formatCode="#,##0">
                  <c:v>2750</c:v>
                </c:pt>
                <c:pt idx="1543" formatCode="#,##0">
                  <c:v>2750</c:v>
                </c:pt>
                <c:pt idx="1544" formatCode="#,##0">
                  <c:v>2750</c:v>
                </c:pt>
                <c:pt idx="1545" formatCode="#,##0">
                  <c:v>2750</c:v>
                </c:pt>
                <c:pt idx="1546" formatCode="#,##0">
                  <c:v>2750</c:v>
                </c:pt>
                <c:pt idx="1547" formatCode="#,##0">
                  <c:v>2750</c:v>
                </c:pt>
                <c:pt idx="1548" formatCode="#,##0">
                  <c:v>2750</c:v>
                </c:pt>
                <c:pt idx="1549" formatCode="#,##0">
                  <c:v>2750</c:v>
                </c:pt>
                <c:pt idx="1550" formatCode="#,##0">
                  <c:v>2750</c:v>
                </c:pt>
                <c:pt idx="1551" formatCode="#,##0">
                  <c:v>2750</c:v>
                </c:pt>
                <c:pt idx="1552" formatCode="#,##0">
                  <c:v>3050</c:v>
                </c:pt>
                <c:pt idx="1553" formatCode="#,##0">
                  <c:v>3050</c:v>
                </c:pt>
                <c:pt idx="1554" formatCode="#,##0">
                  <c:v>3050</c:v>
                </c:pt>
                <c:pt idx="1555" formatCode="#,##0">
                  <c:v>3050</c:v>
                </c:pt>
                <c:pt idx="1556" formatCode="#,##0">
                  <c:v>3050</c:v>
                </c:pt>
                <c:pt idx="1557" formatCode="#,##0">
                  <c:v>3050</c:v>
                </c:pt>
                <c:pt idx="1558" formatCode="#,##0">
                  <c:v>3050</c:v>
                </c:pt>
                <c:pt idx="1559" formatCode="#,##0">
                  <c:v>3050</c:v>
                </c:pt>
                <c:pt idx="1560" formatCode="#,##0">
                  <c:v>3050</c:v>
                </c:pt>
                <c:pt idx="1561" formatCode="#,##0">
                  <c:v>3050</c:v>
                </c:pt>
                <c:pt idx="1562" formatCode="#,##0">
                  <c:v>3050</c:v>
                </c:pt>
                <c:pt idx="1563" formatCode="#,##0">
                  <c:v>3050</c:v>
                </c:pt>
                <c:pt idx="1564" formatCode="#,##0">
                  <c:v>3050</c:v>
                </c:pt>
                <c:pt idx="1565" formatCode="#,##0">
                  <c:v>3050</c:v>
                </c:pt>
                <c:pt idx="1566" formatCode="#,##0">
                  <c:v>3050</c:v>
                </c:pt>
                <c:pt idx="1567" formatCode="#,##0">
                  <c:v>3050</c:v>
                </c:pt>
                <c:pt idx="1568" formatCode="#,##0">
                  <c:v>3050</c:v>
                </c:pt>
                <c:pt idx="1569" formatCode="#,##0">
                  <c:v>3050</c:v>
                </c:pt>
                <c:pt idx="1570" formatCode="#,##0">
                  <c:v>3050</c:v>
                </c:pt>
                <c:pt idx="1571" formatCode="#,##0">
                  <c:v>3050</c:v>
                </c:pt>
                <c:pt idx="1572" formatCode="#,##0">
                  <c:v>3050</c:v>
                </c:pt>
                <c:pt idx="1573" formatCode="#,##0">
                  <c:v>3050</c:v>
                </c:pt>
                <c:pt idx="1574" formatCode="#,##0">
                  <c:v>3050</c:v>
                </c:pt>
                <c:pt idx="1575" formatCode="#,##0">
                  <c:v>3050</c:v>
                </c:pt>
                <c:pt idx="1576" formatCode="#,##0">
                  <c:v>3050</c:v>
                </c:pt>
                <c:pt idx="1577" formatCode="#,##0">
                  <c:v>3050</c:v>
                </c:pt>
                <c:pt idx="1578" formatCode="#,##0">
                  <c:v>3050</c:v>
                </c:pt>
                <c:pt idx="1579" formatCode="#,##0">
                  <c:v>3050</c:v>
                </c:pt>
                <c:pt idx="1580" formatCode="#,##0">
                  <c:v>3050</c:v>
                </c:pt>
                <c:pt idx="1581" formatCode="#,##0">
                  <c:v>3050</c:v>
                </c:pt>
                <c:pt idx="1582" formatCode="#,##0">
                  <c:v>3050</c:v>
                </c:pt>
                <c:pt idx="1583" formatCode="#,##0">
                  <c:v>3050</c:v>
                </c:pt>
                <c:pt idx="1584" formatCode="#,##0">
                  <c:v>3050</c:v>
                </c:pt>
                <c:pt idx="1585" formatCode="#,##0">
                  <c:v>3050</c:v>
                </c:pt>
                <c:pt idx="1586" formatCode="#,##0">
                  <c:v>3050</c:v>
                </c:pt>
                <c:pt idx="1587" formatCode="#,##0">
                  <c:v>3050</c:v>
                </c:pt>
                <c:pt idx="1588" formatCode="#,##0">
                  <c:v>3050</c:v>
                </c:pt>
                <c:pt idx="1589" formatCode="#,##0">
                  <c:v>3050</c:v>
                </c:pt>
                <c:pt idx="1590" formatCode="#,##0">
                  <c:v>3050</c:v>
                </c:pt>
                <c:pt idx="1591" formatCode="#,##0">
                  <c:v>3050</c:v>
                </c:pt>
                <c:pt idx="1592" formatCode="#,##0">
                  <c:v>3050</c:v>
                </c:pt>
                <c:pt idx="1593" formatCode="#,##0">
                  <c:v>3050</c:v>
                </c:pt>
                <c:pt idx="1594" formatCode="#,##0">
                  <c:v>3050</c:v>
                </c:pt>
                <c:pt idx="1595" formatCode="#,##0">
                  <c:v>3050</c:v>
                </c:pt>
                <c:pt idx="1596" formatCode="#,##0">
                  <c:v>3050</c:v>
                </c:pt>
                <c:pt idx="1597" formatCode="#,##0">
                  <c:v>3050</c:v>
                </c:pt>
                <c:pt idx="1598" formatCode="#,##0">
                  <c:v>3050</c:v>
                </c:pt>
                <c:pt idx="1599" formatCode="#,##0">
                  <c:v>3050</c:v>
                </c:pt>
                <c:pt idx="1600" formatCode="#,##0">
                  <c:v>3050</c:v>
                </c:pt>
                <c:pt idx="1601" formatCode="#,##0">
                  <c:v>3050</c:v>
                </c:pt>
                <c:pt idx="1602" formatCode="#,##0">
                  <c:v>3050</c:v>
                </c:pt>
                <c:pt idx="1603" formatCode="#,##0">
                  <c:v>3050</c:v>
                </c:pt>
                <c:pt idx="1604" formatCode="#,##0">
                  <c:v>3050</c:v>
                </c:pt>
                <c:pt idx="1605" formatCode="#,##0">
                  <c:v>3050</c:v>
                </c:pt>
                <c:pt idx="1606" formatCode="#,##0">
                  <c:v>3050</c:v>
                </c:pt>
                <c:pt idx="1607" formatCode="#,##0">
                  <c:v>3050</c:v>
                </c:pt>
                <c:pt idx="1608" formatCode="#,##0">
                  <c:v>3050</c:v>
                </c:pt>
                <c:pt idx="1609" formatCode="#,##0">
                  <c:v>3050</c:v>
                </c:pt>
                <c:pt idx="1610" formatCode="#,##0">
                  <c:v>3050</c:v>
                </c:pt>
                <c:pt idx="1611" formatCode="#,##0">
                  <c:v>3050</c:v>
                </c:pt>
                <c:pt idx="1612" formatCode="#,##0">
                  <c:v>3050</c:v>
                </c:pt>
                <c:pt idx="1613" formatCode="#,##0">
                  <c:v>3050</c:v>
                </c:pt>
                <c:pt idx="1614" formatCode="#,##0">
                  <c:v>3050</c:v>
                </c:pt>
                <c:pt idx="1615" formatCode="#,##0">
                  <c:v>3050</c:v>
                </c:pt>
                <c:pt idx="1616" formatCode="#,##0">
                  <c:v>3050</c:v>
                </c:pt>
                <c:pt idx="1617" formatCode="#,##0">
                  <c:v>3050</c:v>
                </c:pt>
                <c:pt idx="1618" formatCode="#,##0">
                  <c:v>3050</c:v>
                </c:pt>
                <c:pt idx="1619" formatCode="#,##0">
                  <c:v>3050</c:v>
                </c:pt>
                <c:pt idx="1620" formatCode="#,##0">
                  <c:v>3050</c:v>
                </c:pt>
                <c:pt idx="1621" formatCode="#,##0">
                  <c:v>3050</c:v>
                </c:pt>
                <c:pt idx="1622" formatCode="#,##0">
                  <c:v>3050</c:v>
                </c:pt>
                <c:pt idx="1623" formatCode="#,##0">
                  <c:v>3050</c:v>
                </c:pt>
                <c:pt idx="1624" formatCode="#,##0">
                  <c:v>3050</c:v>
                </c:pt>
                <c:pt idx="1625" formatCode="#,##0">
                  <c:v>3050</c:v>
                </c:pt>
                <c:pt idx="1626" formatCode="#,##0">
                  <c:v>3050</c:v>
                </c:pt>
                <c:pt idx="1627" formatCode="#,##0">
                  <c:v>3050</c:v>
                </c:pt>
                <c:pt idx="1628" formatCode="#,##0">
                  <c:v>3050</c:v>
                </c:pt>
                <c:pt idx="1629" formatCode="#,##0">
                  <c:v>3050</c:v>
                </c:pt>
                <c:pt idx="1630" formatCode="#,##0">
                  <c:v>3050</c:v>
                </c:pt>
                <c:pt idx="1631" formatCode="#,##0">
                  <c:v>3050</c:v>
                </c:pt>
                <c:pt idx="1632" formatCode="#,##0">
                  <c:v>3050</c:v>
                </c:pt>
                <c:pt idx="1633" formatCode="#,##0">
                  <c:v>3050</c:v>
                </c:pt>
                <c:pt idx="1634" formatCode="#,##0">
                  <c:v>3050</c:v>
                </c:pt>
                <c:pt idx="1635" formatCode="#,##0">
                  <c:v>3050</c:v>
                </c:pt>
                <c:pt idx="1636" formatCode="#,##0">
                  <c:v>3050</c:v>
                </c:pt>
                <c:pt idx="1637" formatCode="#,##0">
                  <c:v>3050</c:v>
                </c:pt>
                <c:pt idx="1638" formatCode="#,##0">
                  <c:v>3050</c:v>
                </c:pt>
                <c:pt idx="1639" formatCode="#,##0">
                  <c:v>3050</c:v>
                </c:pt>
                <c:pt idx="1640" formatCode="#,##0">
                  <c:v>3050</c:v>
                </c:pt>
                <c:pt idx="1641" formatCode="#,##0">
                  <c:v>3050</c:v>
                </c:pt>
                <c:pt idx="1642" formatCode="#,##0">
                  <c:v>3050</c:v>
                </c:pt>
                <c:pt idx="1643" formatCode="#,##0">
                  <c:v>3050</c:v>
                </c:pt>
                <c:pt idx="1644" formatCode="#,##0">
                  <c:v>3050</c:v>
                </c:pt>
                <c:pt idx="1645" formatCode="#,##0">
                  <c:v>3050</c:v>
                </c:pt>
                <c:pt idx="1646" formatCode="#,##0">
                  <c:v>3050</c:v>
                </c:pt>
                <c:pt idx="1647" formatCode="#,##0">
                  <c:v>3050</c:v>
                </c:pt>
                <c:pt idx="1648" formatCode="#,##0">
                  <c:v>3050</c:v>
                </c:pt>
                <c:pt idx="1649" formatCode="#,##0">
                  <c:v>3050</c:v>
                </c:pt>
                <c:pt idx="1650" formatCode="#,##0">
                  <c:v>3050</c:v>
                </c:pt>
                <c:pt idx="1651" formatCode="#,##0">
                  <c:v>3050</c:v>
                </c:pt>
                <c:pt idx="1652" formatCode="#,##0">
                  <c:v>3050</c:v>
                </c:pt>
                <c:pt idx="1653" formatCode="#,##0">
                  <c:v>3050</c:v>
                </c:pt>
                <c:pt idx="1654" formatCode="#,##0">
                  <c:v>3050</c:v>
                </c:pt>
                <c:pt idx="1655" formatCode="#,##0">
                  <c:v>3050</c:v>
                </c:pt>
                <c:pt idx="1656" formatCode="#,##0">
                  <c:v>3050</c:v>
                </c:pt>
                <c:pt idx="1657" formatCode="#,##0">
                  <c:v>3050</c:v>
                </c:pt>
                <c:pt idx="1658" formatCode="#,##0">
                  <c:v>3050</c:v>
                </c:pt>
                <c:pt idx="1659" formatCode="#,##0">
                  <c:v>3050</c:v>
                </c:pt>
                <c:pt idx="1660" formatCode="#,##0">
                  <c:v>3050</c:v>
                </c:pt>
                <c:pt idx="1661" formatCode="#,##0">
                  <c:v>3050</c:v>
                </c:pt>
                <c:pt idx="1662" formatCode="#,##0">
                  <c:v>3050</c:v>
                </c:pt>
                <c:pt idx="1663" formatCode="#,##0">
                  <c:v>3050</c:v>
                </c:pt>
                <c:pt idx="1664" formatCode="#,##0">
                  <c:v>3050</c:v>
                </c:pt>
                <c:pt idx="1665" formatCode="#,##0">
                  <c:v>3050</c:v>
                </c:pt>
                <c:pt idx="1666" formatCode="#,##0">
                  <c:v>3050</c:v>
                </c:pt>
                <c:pt idx="1667" formatCode="#,##0">
                  <c:v>3050</c:v>
                </c:pt>
                <c:pt idx="1668" formatCode="#,##0">
                  <c:v>3050</c:v>
                </c:pt>
                <c:pt idx="1669" formatCode="#,##0">
                  <c:v>3050</c:v>
                </c:pt>
                <c:pt idx="1670" formatCode="#,##0">
                  <c:v>3050</c:v>
                </c:pt>
                <c:pt idx="1671" formatCode="#,##0">
                  <c:v>3050</c:v>
                </c:pt>
                <c:pt idx="1672" formatCode="#,##0">
                  <c:v>3050</c:v>
                </c:pt>
                <c:pt idx="1673" formatCode="#,##0">
                  <c:v>3050</c:v>
                </c:pt>
                <c:pt idx="1674" formatCode="#,##0">
                  <c:v>3050</c:v>
                </c:pt>
                <c:pt idx="1675" formatCode="#,##0">
                  <c:v>3050</c:v>
                </c:pt>
                <c:pt idx="1676" formatCode="#,##0">
                  <c:v>3050</c:v>
                </c:pt>
                <c:pt idx="1677" formatCode="#,##0">
                  <c:v>3050</c:v>
                </c:pt>
                <c:pt idx="1678" formatCode="#,##0">
                  <c:v>3050</c:v>
                </c:pt>
                <c:pt idx="1679" formatCode="#,##0">
                  <c:v>3050</c:v>
                </c:pt>
                <c:pt idx="1680" formatCode="#,##0">
                  <c:v>3050</c:v>
                </c:pt>
                <c:pt idx="1681" formatCode="#,##0">
                  <c:v>3050</c:v>
                </c:pt>
                <c:pt idx="1682" formatCode="#,##0">
                  <c:v>3050</c:v>
                </c:pt>
                <c:pt idx="1683" formatCode="#,##0">
                  <c:v>3050</c:v>
                </c:pt>
                <c:pt idx="1684" formatCode="#,##0">
                  <c:v>3050</c:v>
                </c:pt>
                <c:pt idx="1685" formatCode="#,##0">
                  <c:v>3050</c:v>
                </c:pt>
                <c:pt idx="1686" formatCode="#,##0">
                  <c:v>3050</c:v>
                </c:pt>
                <c:pt idx="1687" formatCode="#,##0">
                  <c:v>3050</c:v>
                </c:pt>
                <c:pt idx="1688" formatCode="#,##0">
                  <c:v>3050</c:v>
                </c:pt>
                <c:pt idx="1689" formatCode="#,##0">
                  <c:v>3050</c:v>
                </c:pt>
                <c:pt idx="1690" formatCode="#,##0">
                  <c:v>3050</c:v>
                </c:pt>
                <c:pt idx="1691" formatCode="#,##0">
                  <c:v>3050</c:v>
                </c:pt>
                <c:pt idx="1692" formatCode="#,##0">
                  <c:v>3050</c:v>
                </c:pt>
                <c:pt idx="1693" formatCode="#,##0">
                  <c:v>3050</c:v>
                </c:pt>
                <c:pt idx="1694" formatCode="#,##0">
                  <c:v>3050</c:v>
                </c:pt>
                <c:pt idx="1695" formatCode="#,##0">
                  <c:v>3050</c:v>
                </c:pt>
                <c:pt idx="1696" formatCode="#,##0">
                  <c:v>3050</c:v>
                </c:pt>
                <c:pt idx="1697" formatCode="#,##0">
                  <c:v>3050</c:v>
                </c:pt>
                <c:pt idx="1698" formatCode="#,##0">
                  <c:v>3050</c:v>
                </c:pt>
                <c:pt idx="1699" formatCode="#,##0">
                  <c:v>3050</c:v>
                </c:pt>
                <c:pt idx="1700" formatCode="#,##0">
                  <c:v>3050</c:v>
                </c:pt>
                <c:pt idx="1701" formatCode="#,##0">
                  <c:v>3050</c:v>
                </c:pt>
                <c:pt idx="1702" formatCode="#,##0">
                  <c:v>3050</c:v>
                </c:pt>
                <c:pt idx="1703" formatCode="#,##0">
                  <c:v>3050</c:v>
                </c:pt>
                <c:pt idx="1704" formatCode="#,##0">
                  <c:v>3050</c:v>
                </c:pt>
                <c:pt idx="1705" formatCode="#,##0">
                  <c:v>3050</c:v>
                </c:pt>
                <c:pt idx="1706" formatCode="#,##0">
                  <c:v>3050</c:v>
                </c:pt>
                <c:pt idx="1707" formatCode="#,##0">
                  <c:v>3050</c:v>
                </c:pt>
                <c:pt idx="1708" formatCode="#,##0">
                  <c:v>3050</c:v>
                </c:pt>
                <c:pt idx="1709" formatCode="#,##0">
                  <c:v>3050</c:v>
                </c:pt>
                <c:pt idx="1710" formatCode="#,##0">
                  <c:v>3050</c:v>
                </c:pt>
                <c:pt idx="1711" formatCode="#,##0">
                  <c:v>3050</c:v>
                </c:pt>
                <c:pt idx="1712" formatCode="#,##0">
                  <c:v>3050</c:v>
                </c:pt>
                <c:pt idx="1713" formatCode="#,##0">
                  <c:v>3050</c:v>
                </c:pt>
                <c:pt idx="1714" formatCode="#,##0">
                  <c:v>3050</c:v>
                </c:pt>
                <c:pt idx="1715" formatCode="#,##0">
                  <c:v>3050</c:v>
                </c:pt>
                <c:pt idx="1716" formatCode="#,##0">
                  <c:v>3050</c:v>
                </c:pt>
                <c:pt idx="1717" formatCode="#,##0">
                  <c:v>3050</c:v>
                </c:pt>
                <c:pt idx="1718" formatCode="#,##0">
                  <c:v>3350</c:v>
                </c:pt>
                <c:pt idx="1719" formatCode="#,##0">
                  <c:v>3350</c:v>
                </c:pt>
                <c:pt idx="1720" formatCode="#,##0">
                  <c:v>3350</c:v>
                </c:pt>
                <c:pt idx="1721" formatCode="#,##0">
                  <c:v>3350</c:v>
                </c:pt>
                <c:pt idx="1722" formatCode="#,##0">
                  <c:v>3350</c:v>
                </c:pt>
                <c:pt idx="1723" formatCode="#,##0">
                  <c:v>3350</c:v>
                </c:pt>
                <c:pt idx="1724" formatCode="#,##0">
                  <c:v>3350</c:v>
                </c:pt>
                <c:pt idx="1725" formatCode="#,##0">
                  <c:v>3350</c:v>
                </c:pt>
                <c:pt idx="1726" formatCode="#,##0">
                  <c:v>3350</c:v>
                </c:pt>
                <c:pt idx="1727" formatCode="#,##0">
                  <c:v>3350</c:v>
                </c:pt>
                <c:pt idx="1728" formatCode="#,##0">
                  <c:v>3350</c:v>
                </c:pt>
                <c:pt idx="1729" formatCode="#,##0">
                  <c:v>3350</c:v>
                </c:pt>
                <c:pt idx="1730" formatCode="#,##0">
                  <c:v>3350</c:v>
                </c:pt>
                <c:pt idx="1731" formatCode="#,##0">
                  <c:v>3350</c:v>
                </c:pt>
                <c:pt idx="1732" formatCode="#,##0">
                  <c:v>3350</c:v>
                </c:pt>
                <c:pt idx="1733" formatCode="#,##0">
                  <c:v>3350</c:v>
                </c:pt>
                <c:pt idx="1734" formatCode="#,##0">
                  <c:v>3350</c:v>
                </c:pt>
                <c:pt idx="1735" formatCode="#,##0">
                  <c:v>3350</c:v>
                </c:pt>
                <c:pt idx="1736" formatCode="#,##0">
                  <c:v>3350</c:v>
                </c:pt>
                <c:pt idx="1737" formatCode="#,##0">
                  <c:v>3350</c:v>
                </c:pt>
                <c:pt idx="1738" formatCode="#,##0">
                  <c:v>3350</c:v>
                </c:pt>
                <c:pt idx="1739" formatCode="#,##0">
                  <c:v>3350</c:v>
                </c:pt>
                <c:pt idx="1740" formatCode="#,##0">
                  <c:v>3350</c:v>
                </c:pt>
                <c:pt idx="1741" formatCode="#,##0">
                  <c:v>3350</c:v>
                </c:pt>
                <c:pt idx="1742" formatCode="#,##0">
                  <c:v>3350</c:v>
                </c:pt>
                <c:pt idx="1743" formatCode="#,##0">
                  <c:v>3350</c:v>
                </c:pt>
                <c:pt idx="1744" formatCode="#,##0">
                  <c:v>3350</c:v>
                </c:pt>
                <c:pt idx="1745" formatCode="#,##0">
                  <c:v>3350</c:v>
                </c:pt>
                <c:pt idx="1746" formatCode="#,##0">
                  <c:v>3350</c:v>
                </c:pt>
                <c:pt idx="1747" formatCode="#,##0">
                  <c:v>3350</c:v>
                </c:pt>
                <c:pt idx="1748" formatCode="#,##0">
                  <c:v>3350</c:v>
                </c:pt>
                <c:pt idx="1749" formatCode="#,##0">
                  <c:v>3350</c:v>
                </c:pt>
                <c:pt idx="1750" formatCode="#,##0">
                  <c:v>3350</c:v>
                </c:pt>
                <c:pt idx="1751" formatCode="#,##0">
                  <c:v>3350</c:v>
                </c:pt>
                <c:pt idx="1752" formatCode="#,##0">
                  <c:v>3350</c:v>
                </c:pt>
                <c:pt idx="1753" formatCode="#,##0">
                  <c:v>3350</c:v>
                </c:pt>
                <c:pt idx="1754" formatCode="#,##0">
                  <c:v>3350</c:v>
                </c:pt>
                <c:pt idx="1755" formatCode="#,##0">
                  <c:v>3350</c:v>
                </c:pt>
                <c:pt idx="1756" formatCode="#,##0">
                  <c:v>3350</c:v>
                </c:pt>
                <c:pt idx="1757" formatCode="#,##0">
                  <c:v>3350</c:v>
                </c:pt>
                <c:pt idx="1758" formatCode="#,##0">
                  <c:v>3350</c:v>
                </c:pt>
                <c:pt idx="1759" formatCode="#,##0">
                  <c:v>3350</c:v>
                </c:pt>
                <c:pt idx="1760" formatCode="#,##0">
                  <c:v>3350</c:v>
                </c:pt>
                <c:pt idx="1761" formatCode="#,##0">
                  <c:v>3350</c:v>
                </c:pt>
                <c:pt idx="1762" formatCode="#,##0">
                  <c:v>3350</c:v>
                </c:pt>
                <c:pt idx="1763" formatCode="#,##0">
                  <c:v>3350</c:v>
                </c:pt>
                <c:pt idx="1764" formatCode="#,##0">
                  <c:v>3350</c:v>
                </c:pt>
                <c:pt idx="1765" formatCode="#,##0">
                  <c:v>3350</c:v>
                </c:pt>
                <c:pt idx="1766" formatCode="#,##0">
                  <c:v>3350</c:v>
                </c:pt>
                <c:pt idx="1767" formatCode="#,##0">
                  <c:v>3350</c:v>
                </c:pt>
                <c:pt idx="1768" formatCode="#,##0">
                  <c:v>3350</c:v>
                </c:pt>
                <c:pt idx="1769" formatCode="#,##0">
                  <c:v>3350</c:v>
                </c:pt>
                <c:pt idx="1770" formatCode="#,##0">
                  <c:v>3350</c:v>
                </c:pt>
                <c:pt idx="1771" formatCode="#,##0">
                  <c:v>3350</c:v>
                </c:pt>
                <c:pt idx="1772" formatCode="#,##0">
                  <c:v>3350</c:v>
                </c:pt>
                <c:pt idx="1773" formatCode="#,##0">
                  <c:v>3350</c:v>
                </c:pt>
                <c:pt idx="1774" formatCode="#,##0">
                  <c:v>3350</c:v>
                </c:pt>
                <c:pt idx="1775" formatCode="#,##0">
                  <c:v>3350</c:v>
                </c:pt>
                <c:pt idx="1776" formatCode="#,##0">
                  <c:v>3350</c:v>
                </c:pt>
                <c:pt idx="1777" formatCode="#,##0">
                  <c:v>3350</c:v>
                </c:pt>
                <c:pt idx="1778" formatCode="#,##0">
                  <c:v>3350</c:v>
                </c:pt>
                <c:pt idx="1779" formatCode="#,##0">
                  <c:v>3350</c:v>
                </c:pt>
                <c:pt idx="1780" formatCode="#,##0">
                  <c:v>3350</c:v>
                </c:pt>
                <c:pt idx="1781" formatCode="#,##0">
                  <c:v>3350</c:v>
                </c:pt>
                <c:pt idx="1782" formatCode="#,##0">
                  <c:v>3350</c:v>
                </c:pt>
                <c:pt idx="1783" formatCode="#,##0">
                  <c:v>3350</c:v>
                </c:pt>
                <c:pt idx="1784" formatCode="#,##0">
                  <c:v>3350</c:v>
                </c:pt>
                <c:pt idx="1785" formatCode="#,##0">
                  <c:v>3350</c:v>
                </c:pt>
                <c:pt idx="1786" formatCode="#,##0">
                  <c:v>3350</c:v>
                </c:pt>
                <c:pt idx="1787" formatCode="#,##0">
                  <c:v>3350</c:v>
                </c:pt>
                <c:pt idx="1788" formatCode="#,##0">
                  <c:v>3350</c:v>
                </c:pt>
                <c:pt idx="1789" formatCode="#,##0">
                  <c:v>3350</c:v>
                </c:pt>
                <c:pt idx="1790" formatCode="#,##0">
                  <c:v>3350</c:v>
                </c:pt>
                <c:pt idx="1791" formatCode="#,##0">
                  <c:v>3350</c:v>
                </c:pt>
                <c:pt idx="1792" formatCode="#,##0">
                  <c:v>3350</c:v>
                </c:pt>
                <c:pt idx="1793" formatCode="#,##0">
                  <c:v>3350</c:v>
                </c:pt>
                <c:pt idx="1794" formatCode="#,##0">
                  <c:v>3350</c:v>
                </c:pt>
                <c:pt idx="1795" formatCode="#,##0">
                  <c:v>3350</c:v>
                </c:pt>
                <c:pt idx="1796" formatCode="#,##0">
                  <c:v>3350</c:v>
                </c:pt>
                <c:pt idx="1797" formatCode="#,##0">
                  <c:v>3350</c:v>
                </c:pt>
                <c:pt idx="1798" formatCode="#,##0">
                  <c:v>3350</c:v>
                </c:pt>
                <c:pt idx="1799" formatCode="#,##0">
                  <c:v>3350</c:v>
                </c:pt>
                <c:pt idx="1800" formatCode="#,##0">
                  <c:v>3350</c:v>
                </c:pt>
                <c:pt idx="1801" formatCode="#,##0">
                  <c:v>3350</c:v>
                </c:pt>
                <c:pt idx="1802" formatCode="#,##0">
                  <c:v>3350</c:v>
                </c:pt>
                <c:pt idx="1803" formatCode="#,##0">
                  <c:v>3350</c:v>
                </c:pt>
                <c:pt idx="1804" formatCode="#,##0">
                  <c:v>3350</c:v>
                </c:pt>
                <c:pt idx="1805" formatCode="#,##0">
                  <c:v>3350</c:v>
                </c:pt>
                <c:pt idx="1806" formatCode="#,##0">
                  <c:v>3350</c:v>
                </c:pt>
                <c:pt idx="1807" formatCode="#,##0">
                  <c:v>3350</c:v>
                </c:pt>
                <c:pt idx="1808" formatCode="#,##0">
                  <c:v>3350</c:v>
                </c:pt>
                <c:pt idx="1809" formatCode="#,##0">
                  <c:v>3350</c:v>
                </c:pt>
                <c:pt idx="1810" formatCode="#,##0">
                  <c:v>3350</c:v>
                </c:pt>
                <c:pt idx="1811" formatCode="#,##0">
                  <c:v>3350</c:v>
                </c:pt>
                <c:pt idx="1812" formatCode="#,##0">
                  <c:v>3350</c:v>
                </c:pt>
                <c:pt idx="1813" formatCode="#,##0">
                  <c:v>3350</c:v>
                </c:pt>
                <c:pt idx="1814" formatCode="#,##0">
                  <c:v>3350</c:v>
                </c:pt>
                <c:pt idx="1815" formatCode="#,##0">
                  <c:v>3350</c:v>
                </c:pt>
                <c:pt idx="1816" formatCode="#,##0">
                  <c:v>3350</c:v>
                </c:pt>
                <c:pt idx="1817" formatCode="#,##0">
                  <c:v>3350</c:v>
                </c:pt>
                <c:pt idx="1818" formatCode="#,##0">
                  <c:v>3350</c:v>
                </c:pt>
                <c:pt idx="1819" formatCode="#,##0">
                  <c:v>3350</c:v>
                </c:pt>
                <c:pt idx="1820" formatCode="#,##0">
                  <c:v>3350</c:v>
                </c:pt>
                <c:pt idx="1821" formatCode="#,##0">
                  <c:v>3350</c:v>
                </c:pt>
                <c:pt idx="1822" formatCode="#,##0">
                  <c:v>3350</c:v>
                </c:pt>
                <c:pt idx="1823" formatCode="#,##0">
                  <c:v>3350</c:v>
                </c:pt>
                <c:pt idx="1824" formatCode="#,##0">
                  <c:v>3350</c:v>
                </c:pt>
                <c:pt idx="1825" formatCode="#,##0">
                  <c:v>3350</c:v>
                </c:pt>
                <c:pt idx="1826" formatCode="#,##0">
                  <c:v>3350</c:v>
                </c:pt>
                <c:pt idx="1827" formatCode="#,##0">
                  <c:v>3350</c:v>
                </c:pt>
                <c:pt idx="1828" formatCode="#,##0">
                  <c:v>3350</c:v>
                </c:pt>
                <c:pt idx="1829" formatCode="#,##0">
                  <c:v>3350</c:v>
                </c:pt>
                <c:pt idx="1830" formatCode="#,##0">
                  <c:v>3350</c:v>
                </c:pt>
                <c:pt idx="1831" formatCode="#,##0">
                  <c:v>3350</c:v>
                </c:pt>
                <c:pt idx="1832" formatCode="#,##0">
                  <c:v>3350</c:v>
                </c:pt>
                <c:pt idx="1833" formatCode="#,##0">
                  <c:v>3350</c:v>
                </c:pt>
                <c:pt idx="1834" formatCode="#,##0">
                  <c:v>3350</c:v>
                </c:pt>
                <c:pt idx="1835" formatCode="#,##0">
                  <c:v>3350</c:v>
                </c:pt>
                <c:pt idx="1836" formatCode="#,##0">
                  <c:v>3350</c:v>
                </c:pt>
                <c:pt idx="1837" formatCode="#,##0">
                  <c:v>3350</c:v>
                </c:pt>
                <c:pt idx="1838" formatCode="#,##0">
                  <c:v>3350</c:v>
                </c:pt>
                <c:pt idx="1839" formatCode="#,##0">
                  <c:v>3350</c:v>
                </c:pt>
                <c:pt idx="1840" formatCode="#,##0">
                  <c:v>3350</c:v>
                </c:pt>
                <c:pt idx="1841" formatCode="#,##0">
                  <c:v>3350</c:v>
                </c:pt>
                <c:pt idx="1842" formatCode="#,##0">
                  <c:v>3350</c:v>
                </c:pt>
                <c:pt idx="1843" formatCode="#,##0">
                  <c:v>3350</c:v>
                </c:pt>
                <c:pt idx="1844" formatCode="#,##0">
                  <c:v>3350</c:v>
                </c:pt>
                <c:pt idx="1845" formatCode="#,##0">
                  <c:v>3350</c:v>
                </c:pt>
                <c:pt idx="1846" formatCode="#,##0">
                  <c:v>3350</c:v>
                </c:pt>
                <c:pt idx="1847" formatCode="#,##0">
                  <c:v>3350</c:v>
                </c:pt>
                <c:pt idx="1848" formatCode="#,##0">
                  <c:v>3350</c:v>
                </c:pt>
                <c:pt idx="1849" formatCode="#,##0">
                  <c:v>3350</c:v>
                </c:pt>
                <c:pt idx="1850" formatCode="#,##0">
                  <c:v>3350</c:v>
                </c:pt>
                <c:pt idx="1851" formatCode="#,##0">
                  <c:v>3350</c:v>
                </c:pt>
                <c:pt idx="1852" formatCode="#,##0">
                  <c:v>3350</c:v>
                </c:pt>
                <c:pt idx="1853" formatCode="#,##0">
                  <c:v>3350</c:v>
                </c:pt>
                <c:pt idx="1854" formatCode="#,##0">
                  <c:v>3350</c:v>
                </c:pt>
                <c:pt idx="1855" formatCode="#,##0">
                  <c:v>3350</c:v>
                </c:pt>
                <c:pt idx="1856" formatCode="#,##0">
                  <c:v>3350</c:v>
                </c:pt>
                <c:pt idx="1857" formatCode="#,##0">
                  <c:v>3350</c:v>
                </c:pt>
                <c:pt idx="1858" formatCode="#,##0">
                  <c:v>3350</c:v>
                </c:pt>
                <c:pt idx="1859" formatCode="#,##0">
                  <c:v>3350</c:v>
                </c:pt>
                <c:pt idx="1860" formatCode="#,##0">
                  <c:v>3350</c:v>
                </c:pt>
                <c:pt idx="1861" formatCode="#,##0">
                  <c:v>3350</c:v>
                </c:pt>
                <c:pt idx="1862" formatCode="#,##0">
                  <c:v>3350</c:v>
                </c:pt>
                <c:pt idx="1863" formatCode="#,##0">
                  <c:v>3350</c:v>
                </c:pt>
                <c:pt idx="1864" formatCode="#,##0">
                  <c:v>3350</c:v>
                </c:pt>
                <c:pt idx="1865" formatCode="#,##0">
                  <c:v>3350</c:v>
                </c:pt>
                <c:pt idx="1866" formatCode="#,##0">
                  <c:v>3350</c:v>
                </c:pt>
                <c:pt idx="1867" formatCode="#,##0">
                  <c:v>3350</c:v>
                </c:pt>
                <c:pt idx="1868" formatCode="#,##0">
                  <c:v>3350</c:v>
                </c:pt>
                <c:pt idx="1869" formatCode="#,##0">
                  <c:v>3350</c:v>
                </c:pt>
                <c:pt idx="1870" formatCode="#,##0">
                  <c:v>3350</c:v>
                </c:pt>
                <c:pt idx="1871" formatCode="#,##0">
                  <c:v>3350</c:v>
                </c:pt>
                <c:pt idx="1872" formatCode="#,##0">
                  <c:v>3350</c:v>
                </c:pt>
                <c:pt idx="1873" formatCode="#,##0">
                  <c:v>3350</c:v>
                </c:pt>
                <c:pt idx="1874" formatCode="#,##0">
                  <c:v>3350</c:v>
                </c:pt>
                <c:pt idx="1875" formatCode="#,##0">
                  <c:v>3350</c:v>
                </c:pt>
                <c:pt idx="1876" formatCode="#,##0">
                  <c:v>3350</c:v>
                </c:pt>
                <c:pt idx="1877" formatCode="#,##0">
                  <c:v>3350</c:v>
                </c:pt>
                <c:pt idx="1878" formatCode="#,##0">
                  <c:v>3350</c:v>
                </c:pt>
                <c:pt idx="1879" formatCode="#,##0">
                  <c:v>3350</c:v>
                </c:pt>
                <c:pt idx="1880" formatCode="#,##0">
                  <c:v>3350</c:v>
                </c:pt>
                <c:pt idx="1881" formatCode="#,##0">
                  <c:v>3350</c:v>
                </c:pt>
                <c:pt idx="1882" formatCode="#,##0">
                  <c:v>3350</c:v>
                </c:pt>
                <c:pt idx="1883" formatCode="#,##0">
                  <c:v>3650</c:v>
                </c:pt>
                <c:pt idx="1884" formatCode="#,##0">
                  <c:v>3650</c:v>
                </c:pt>
                <c:pt idx="1885" formatCode="#,##0">
                  <c:v>3650</c:v>
                </c:pt>
                <c:pt idx="1886" formatCode="#,##0">
                  <c:v>3650</c:v>
                </c:pt>
                <c:pt idx="1887" formatCode="#,##0">
                  <c:v>3650</c:v>
                </c:pt>
                <c:pt idx="1888" formatCode="#,##0">
                  <c:v>3650</c:v>
                </c:pt>
                <c:pt idx="1889" formatCode="#,##0">
                  <c:v>3650</c:v>
                </c:pt>
                <c:pt idx="1890" formatCode="#,##0">
                  <c:v>3650</c:v>
                </c:pt>
                <c:pt idx="1891" formatCode="#,##0">
                  <c:v>3650</c:v>
                </c:pt>
                <c:pt idx="1892" formatCode="#,##0">
                  <c:v>3650</c:v>
                </c:pt>
                <c:pt idx="1893" formatCode="#,##0">
                  <c:v>3650</c:v>
                </c:pt>
                <c:pt idx="1894" formatCode="#,##0">
                  <c:v>3650</c:v>
                </c:pt>
                <c:pt idx="1895" formatCode="#,##0">
                  <c:v>3650</c:v>
                </c:pt>
                <c:pt idx="1896" formatCode="#,##0">
                  <c:v>3650</c:v>
                </c:pt>
                <c:pt idx="1897" formatCode="#,##0">
                  <c:v>3650</c:v>
                </c:pt>
                <c:pt idx="1898" formatCode="#,##0">
                  <c:v>3650</c:v>
                </c:pt>
                <c:pt idx="1899" formatCode="#,##0">
                  <c:v>3650</c:v>
                </c:pt>
                <c:pt idx="1900" formatCode="#,##0">
                  <c:v>3650</c:v>
                </c:pt>
                <c:pt idx="1901" formatCode="#,##0">
                  <c:v>3650</c:v>
                </c:pt>
                <c:pt idx="1902" formatCode="#,##0">
                  <c:v>3650</c:v>
                </c:pt>
                <c:pt idx="1903" formatCode="#,##0">
                  <c:v>3650</c:v>
                </c:pt>
                <c:pt idx="1904" formatCode="#,##0">
                  <c:v>3650</c:v>
                </c:pt>
                <c:pt idx="1905" formatCode="#,##0">
                  <c:v>3650</c:v>
                </c:pt>
                <c:pt idx="1906" formatCode="#,##0">
                  <c:v>3650</c:v>
                </c:pt>
                <c:pt idx="1907" formatCode="#,##0">
                  <c:v>3650</c:v>
                </c:pt>
                <c:pt idx="1908" formatCode="#,##0">
                  <c:v>3650</c:v>
                </c:pt>
                <c:pt idx="1909" formatCode="#,##0">
                  <c:v>3650</c:v>
                </c:pt>
                <c:pt idx="1910" formatCode="#,##0">
                  <c:v>3650</c:v>
                </c:pt>
                <c:pt idx="1911" formatCode="#,##0">
                  <c:v>3650</c:v>
                </c:pt>
                <c:pt idx="1912" formatCode="#,##0">
                  <c:v>3650</c:v>
                </c:pt>
                <c:pt idx="1913" formatCode="#,##0">
                  <c:v>3650</c:v>
                </c:pt>
                <c:pt idx="1914" formatCode="#,##0">
                  <c:v>3650</c:v>
                </c:pt>
                <c:pt idx="1915" formatCode="#,##0">
                  <c:v>3650</c:v>
                </c:pt>
                <c:pt idx="1916" formatCode="#,##0">
                  <c:v>3650</c:v>
                </c:pt>
                <c:pt idx="1917" formatCode="#,##0">
                  <c:v>3650</c:v>
                </c:pt>
                <c:pt idx="1918" formatCode="#,##0">
                  <c:v>3650</c:v>
                </c:pt>
                <c:pt idx="1919" formatCode="#,##0">
                  <c:v>3650</c:v>
                </c:pt>
                <c:pt idx="1920" formatCode="#,##0">
                  <c:v>3650</c:v>
                </c:pt>
                <c:pt idx="1921" formatCode="#,##0">
                  <c:v>3650</c:v>
                </c:pt>
                <c:pt idx="1922" formatCode="#,##0">
                  <c:v>3650</c:v>
                </c:pt>
                <c:pt idx="1923" formatCode="#,##0">
                  <c:v>3650</c:v>
                </c:pt>
                <c:pt idx="1924" formatCode="#,##0">
                  <c:v>3650</c:v>
                </c:pt>
                <c:pt idx="1925" formatCode="#,##0">
                  <c:v>3650</c:v>
                </c:pt>
                <c:pt idx="1926" formatCode="#,##0">
                  <c:v>3650</c:v>
                </c:pt>
                <c:pt idx="1927" formatCode="#,##0">
                  <c:v>3650</c:v>
                </c:pt>
                <c:pt idx="1928" formatCode="#,##0">
                  <c:v>3650</c:v>
                </c:pt>
                <c:pt idx="1929" formatCode="#,##0">
                  <c:v>3650</c:v>
                </c:pt>
                <c:pt idx="1930" formatCode="#,##0">
                  <c:v>3650</c:v>
                </c:pt>
                <c:pt idx="1931" formatCode="#,##0">
                  <c:v>3650</c:v>
                </c:pt>
                <c:pt idx="1932" formatCode="#,##0">
                  <c:v>3650</c:v>
                </c:pt>
                <c:pt idx="1933" formatCode="#,##0">
                  <c:v>3650</c:v>
                </c:pt>
                <c:pt idx="1934" formatCode="#,##0">
                  <c:v>3650</c:v>
                </c:pt>
                <c:pt idx="1935" formatCode="#,##0">
                  <c:v>3650</c:v>
                </c:pt>
                <c:pt idx="1936" formatCode="#,##0">
                  <c:v>3650</c:v>
                </c:pt>
                <c:pt idx="1937" formatCode="#,##0">
                  <c:v>3650</c:v>
                </c:pt>
                <c:pt idx="1938" formatCode="#,##0">
                  <c:v>3650</c:v>
                </c:pt>
                <c:pt idx="1939" formatCode="#,##0">
                  <c:v>3650</c:v>
                </c:pt>
                <c:pt idx="1940" formatCode="#,##0">
                  <c:v>3650</c:v>
                </c:pt>
                <c:pt idx="1941" formatCode="#,##0">
                  <c:v>3650</c:v>
                </c:pt>
                <c:pt idx="1942" formatCode="#,##0">
                  <c:v>3650</c:v>
                </c:pt>
                <c:pt idx="1943" formatCode="#,##0">
                  <c:v>3650</c:v>
                </c:pt>
                <c:pt idx="1944" formatCode="#,##0">
                  <c:v>3650</c:v>
                </c:pt>
                <c:pt idx="1945" formatCode="#,##0">
                  <c:v>3650</c:v>
                </c:pt>
                <c:pt idx="1946" formatCode="#,##0">
                  <c:v>3650</c:v>
                </c:pt>
                <c:pt idx="1947" formatCode="#,##0">
                  <c:v>3650</c:v>
                </c:pt>
                <c:pt idx="1948" formatCode="#,##0">
                  <c:v>3650</c:v>
                </c:pt>
                <c:pt idx="1949" formatCode="#,##0">
                  <c:v>3650</c:v>
                </c:pt>
                <c:pt idx="1950" formatCode="#,##0">
                  <c:v>3650</c:v>
                </c:pt>
                <c:pt idx="1951" formatCode="#,##0">
                  <c:v>3650</c:v>
                </c:pt>
                <c:pt idx="1952" formatCode="#,##0">
                  <c:v>3650</c:v>
                </c:pt>
                <c:pt idx="1953" formatCode="#,##0">
                  <c:v>3650</c:v>
                </c:pt>
                <c:pt idx="1954" formatCode="#,##0">
                  <c:v>3650</c:v>
                </c:pt>
                <c:pt idx="1955" formatCode="#,##0">
                  <c:v>3650</c:v>
                </c:pt>
                <c:pt idx="1956" formatCode="#,##0">
                  <c:v>3650</c:v>
                </c:pt>
                <c:pt idx="1957" formatCode="#,##0">
                  <c:v>3650</c:v>
                </c:pt>
                <c:pt idx="1958" formatCode="#,##0">
                  <c:v>3650</c:v>
                </c:pt>
                <c:pt idx="1959" formatCode="#,##0">
                  <c:v>3650</c:v>
                </c:pt>
                <c:pt idx="1960" formatCode="#,##0">
                  <c:v>3650</c:v>
                </c:pt>
                <c:pt idx="1961" formatCode="#,##0">
                  <c:v>3650</c:v>
                </c:pt>
                <c:pt idx="1962" formatCode="#,##0">
                  <c:v>3650</c:v>
                </c:pt>
                <c:pt idx="1963" formatCode="#,##0">
                  <c:v>3650</c:v>
                </c:pt>
                <c:pt idx="1964" formatCode="#,##0">
                  <c:v>3650</c:v>
                </c:pt>
                <c:pt idx="1965" formatCode="#,##0">
                  <c:v>3650</c:v>
                </c:pt>
                <c:pt idx="1966" formatCode="#,##0">
                  <c:v>3650</c:v>
                </c:pt>
                <c:pt idx="1967" formatCode="#,##0">
                  <c:v>3650</c:v>
                </c:pt>
                <c:pt idx="1968" formatCode="#,##0">
                  <c:v>3650</c:v>
                </c:pt>
                <c:pt idx="1969" formatCode="#,##0">
                  <c:v>3650</c:v>
                </c:pt>
                <c:pt idx="1970" formatCode="#,##0">
                  <c:v>3650</c:v>
                </c:pt>
                <c:pt idx="1971" formatCode="#,##0">
                  <c:v>3650</c:v>
                </c:pt>
                <c:pt idx="1972" formatCode="#,##0">
                  <c:v>3650</c:v>
                </c:pt>
                <c:pt idx="1973" formatCode="#,##0">
                  <c:v>3650</c:v>
                </c:pt>
                <c:pt idx="1974" formatCode="#,##0">
                  <c:v>3650</c:v>
                </c:pt>
                <c:pt idx="1975" formatCode="#,##0">
                  <c:v>3650</c:v>
                </c:pt>
                <c:pt idx="1976" formatCode="#,##0">
                  <c:v>3650</c:v>
                </c:pt>
                <c:pt idx="1977" formatCode="#,##0">
                  <c:v>3650</c:v>
                </c:pt>
                <c:pt idx="1978" formatCode="#,##0">
                  <c:v>3650</c:v>
                </c:pt>
                <c:pt idx="1979" formatCode="#,##0">
                  <c:v>3650</c:v>
                </c:pt>
                <c:pt idx="1980" formatCode="#,##0">
                  <c:v>3650</c:v>
                </c:pt>
                <c:pt idx="1981" formatCode="#,##0">
                  <c:v>3650</c:v>
                </c:pt>
                <c:pt idx="1982" formatCode="#,##0">
                  <c:v>3650</c:v>
                </c:pt>
                <c:pt idx="1983" formatCode="#,##0">
                  <c:v>3650</c:v>
                </c:pt>
                <c:pt idx="1984" formatCode="#,##0">
                  <c:v>3650</c:v>
                </c:pt>
                <c:pt idx="1985" formatCode="#,##0">
                  <c:v>3650</c:v>
                </c:pt>
                <c:pt idx="1986" formatCode="#,##0">
                  <c:v>3650</c:v>
                </c:pt>
                <c:pt idx="1987" formatCode="#,##0">
                  <c:v>3650</c:v>
                </c:pt>
                <c:pt idx="1988" formatCode="#,##0">
                  <c:v>3650</c:v>
                </c:pt>
                <c:pt idx="1989" formatCode="#,##0">
                  <c:v>3650</c:v>
                </c:pt>
                <c:pt idx="1990" formatCode="#,##0">
                  <c:v>3650</c:v>
                </c:pt>
                <c:pt idx="1991" formatCode="#,##0">
                  <c:v>3650</c:v>
                </c:pt>
                <c:pt idx="1992" formatCode="#,##0">
                  <c:v>3650</c:v>
                </c:pt>
                <c:pt idx="1993" formatCode="#,##0">
                  <c:v>3650</c:v>
                </c:pt>
                <c:pt idx="1994" formatCode="#,##0">
                  <c:v>3650</c:v>
                </c:pt>
                <c:pt idx="1995" formatCode="#,##0">
                  <c:v>3650</c:v>
                </c:pt>
                <c:pt idx="1996" formatCode="#,##0">
                  <c:v>3650</c:v>
                </c:pt>
                <c:pt idx="1997" formatCode="#,##0">
                  <c:v>3650</c:v>
                </c:pt>
                <c:pt idx="1998" formatCode="#,##0">
                  <c:v>3650</c:v>
                </c:pt>
                <c:pt idx="1999" formatCode="#,##0">
                  <c:v>3650</c:v>
                </c:pt>
                <c:pt idx="2000" formatCode="#,##0">
                  <c:v>3650</c:v>
                </c:pt>
                <c:pt idx="2001" formatCode="#,##0">
                  <c:v>3650</c:v>
                </c:pt>
                <c:pt idx="2002" formatCode="#,##0">
                  <c:v>3650</c:v>
                </c:pt>
                <c:pt idx="2003" formatCode="#,##0">
                  <c:v>3650</c:v>
                </c:pt>
                <c:pt idx="2004" formatCode="#,##0">
                  <c:v>3650</c:v>
                </c:pt>
                <c:pt idx="2005" formatCode="#,##0">
                  <c:v>3650</c:v>
                </c:pt>
                <c:pt idx="2006" formatCode="#,##0">
                  <c:v>3650</c:v>
                </c:pt>
                <c:pt idx="2007" formatCode="#,##0">
                  <c:v>3650</c:v>
                </c:pt>
                <c:pt idx="2008" formatCode="#,##0">
                  <c:v>3650</c:v>
                </c:pt>
                <c:pt idx="2009" formatCode="#,##0">
                  <c:v>3650</c:v>
                </c:pt>
                <c:pt idx="2010" formatCode="#,##0">
                  <c:v>3650</c:v>
                </c:pt>
                <c:pt idx="2011" formatCode="#,##0">
                  <c:v>3650</c:v>
                </c:pt>
                <c:pt idx="2012" formatCode="#,##0">
                  <c:v>3650</c:v>
                </c:pt>
                <c:pt idx="2013" formatCode="#,##0">
                  <c:v>3650</c:v>
                </c:pt>
                <c:pt idx="2014" formatCode="#,##0">
                  <c:v>3650</c:v>
                </c:pt>
                <c:pt idx="2015" formatCode="#,##0">
                  <c:v>3650</c:v>
                </c:pt>
                <c:pt idx="2016" formatCode="#,##0">
                  <c:v>3650</c:v>
                </c:pt>
                <c:pt idx="2017" formatCode="#,##0">
                  <c:v>3650</c:v>
                </c:pt>
                <c:pt idx="2018" formatCode="#,##0">
                  <c:v>3650</c:v>
                </c:pt>
                <c:pt idx="2019" formatCode="#,##0">
                  <c:v>3650</c:v>
                </c:pt>
                <c:pt idx="2020" formatCode="#,##0">
                  <c:v>3650</c:v>
                </c:pt>
                <c:pt idx="2021" formatCode="#,##0">
                  <c:v>3650</c:v>
                </c:pt>
                <c:pt idx="2022" formatCode="#,##0">
                  <c:v>3650</c:v>
                </c:pt>
                <c:pt idx="2023" formatCode="#,##0">
                  <c:v>3650</c:v>
                </c:pt>
                <c:pt idx="2024" formatCode="#,##0">
                  <c:v>3650</c:v>
                </c:pt>
                <c:pt idx="2025" formatCode="#,##0">
                  <c:v>3650</c:v>
                </c:pt>
                <c:pt idx="2026" formatCode="#,##0">
                  <c:v>3650</c:v>
                </c:pt>
                <c:pt idx="2027" formatCode="#,##0">
                  <c:v>3650</c:v>
                </c:pt>
                <c:pt idx="2028" formatCode="#,##0">
                  <c:v>3650</c:v>
                </c:pt>
                <c:pt idx="2029" formatCode="#,##0">
                  <c:v>3650</c:v>
                </c:pt>
                <c:pt idx="2030" formatCode="#,##0">
                  <c:v>3650</c:v>
                </c:pt>
                <c:pt idx="2031" formatCode="#,##0">
                  <c:v>3650</c:v>
                </c:pt>
                <c:pt idx="2032" formatCode="#,##0">
                  <c:v>3650</c:v>
                </c:pt>
                <c:pt idx="2033" formatCode="#,##0">
                  <c:v>3650</c:v>
                </c:pt>
                <c:pt idx="2034" formatCode="#,##0">
                  <c:v>3650</c:v>
                </c:pt>
                <c:pt idx="2035" formatCode="#,##0">
                  <c:v>3650</c:v>
                </c:pt>
                <c:pt idx="2036" formatCode="#,##0">
                  <c:v>3650</c:v>
                </c:pt>
                <c:pt idx="2037" formatCode="#,##0">
                  <c:v>3650</c:v>
                </c:pt>
                <c:pt idx="2038" formatCode="#,##0">
                  <c:v>3650</c:v>
                </c:pt>
                <c:pt idx="2039" formatCode="#,##0">
                  <c:v>3650</c:v>
                </c:pt>
                <c:pt idx="2040" formatCode="#,##0">
                  <c:v>3650</c:v>
                </c:pt>
                <c:pt idx="2041" formatCode="#,##0">
                  <c:v>3650</c:v>
                </c:pt>
                <c:pt idx="2042" formatCode="#,##0">
                  <c:v>3650</c:v>
                </c:pt>
                <c:pt idx="2043" formatCode="#,##0">
                  <c:v>3650</c:v>
                </c:pt>
                <c:pt idx="2044" formatCode="#,##0">
                  <c:v>3650</c:v>
                </c:pt>
                <c:pt idx="2045" formatCode="#,##0">
                  <c:v>3650</c:v>
                </c:pt>
                <c:pt idx="2046" formatCode="#,##0">
                  <c:v>3650</c:v>
                </c:pt>
                <c:pt idx="2047" formatCode="#,##0">
                  <c:v>3650</c:v>
                </c:pt>
                <c:pt idx="2048" formatCode="#,##0">
                  <c:v>3950</c:v>
                </c:pt>
                <c:pt idx="2049" formatCode="#,##0">
                  <c:v>3950</c:v>
                </c:pt>
                <c:pt idx="2050" formatCode="#,##0">
                  <c:v>3950</c:v>
                </c:pt>
                <c:pt idx="2051" formatCode="#,##0">
                  <c:v>3950</c:v>
                </c:pt>
                <c:pt idx="2052" formatCode="#,##0">
                  <c:v>3950</c:v>
                </c:pt>
                <c:pt idx="2053" formatCode="#,##0">
                  <c:v>3950</c:v>
                </c:pt>
                <c:pt idx="2054" formatCode="#,##0">
                  <c:v>3950</c:v>
                </c:pt>
                <c:pt idx="2055" formatCode="#,##0">
                  <c:v>3950</c:v>
                </c:pt>
                <c:pt idx="2056" formatCode="#,##0">
                  <c:v>3950</c:v>
                </c:pt>
                <c:pt idx="2057" formatCode="#,##0">
                  <c:v>3950</c:v>
                </c:pt>
                <c:pt idx="2058" formatCode="#,##0">
                  <c:v>3950</c:v>
                </c:pt>
                <c:pt idx="2059" formatCode="#,##0">
                  <c:v>3950</c:v>
                </c:pt>
                <c:pt idx="2060" formatCode="#,##0">
                  <c:v>3950</c:v>
                </c:pt>
                <c:pt idx="2061" formatCode="#,##0">
                  <c:v>3950</c:v>
                </c:pt>
                <c:pt idx="2062" formatCode="#,##0">
                  <c:v>3950</c:v>
                </c:pt>
                <c:pt idx="2063" formatCode="#,##0">
                  <c:v>3950</c:v>
                </c:pt>
                <c:pt idx="2064" formatCode="#,##0">
                  <c:v>3950</c:v>
                </c:pt>
                <c:pt idx="2065" formatCode="#,##0">
                  <c:v>3950</c:v>
                </c:pt>
                <c:pt idx="2066" formatCode="#,##0">
                  <c:v>3950</c:v>
                </c:pt>
                <c:pt idx="2067" formatCode="#,##0">
                  <c:v>3950</c:v>
                </c:pt>
                <c:pt idx="2068" formatCode="#,##0">
                  <c:v>3950</c:v>
                </c:pt>
                <c:pt idx="2069" formatCode="#,##0">
                  <c:v>3950</c:v>
                </c:pt>
                <c:pt idx="2070" formatCode="#,##0">
                  <c:v>3950</c:v>
                </c:pt>
                <c:pt idx="2071" formatCode="#,##0">
                  <c:v>3950</c:v>
                </c:pt>
                <c:pt idx="2072" formatCode="#,##0">
                  <c:v>3950</c:v>
                </c:pt>
                <c:pt idx="2073" formatCode="#,##0">
                  <c:v>3950</c:v>
                </c:pt>
                <c:pt idx="2074" formatCode="#,##0">
                  <c:v>3950</c:v>
                </c:pt>
                <c:pt idx="2075" formatCode="#,##0">
                  <c:v>3950</c:v>
                </c:pt>
                <c:pt idx="2076" formatCode="#,##0">
                  <c:v>3950</c:v>
                </c:pt>
                <c:pt idx="2077" formatCode="#,##0">
                  <c:v>3950</c:v>
                </c:pt>
                <c:pt idx="2078" formatCode="#,##0">
                  <c:v>3950</c:v>
                </c:pt>
                <c:pt idx="2079" formatCode="#,##0">
                  <c:v>3950</c:v>
                </c:pt>
                <c:pt idx="2080" formatCode="#,##0">
                  <c:v>3950</c:v>
                </c:pt>
                <c:pt idx="2081" formatCode="#,##0">
                  <c:v>3950</c:v>
                </c:pt>
                <c:pt idx="2082" formatCode="#,##0">
                  <c:v>3950</c:v>
                </c:pt>
                <c:pt idx="2083" formatCode="#,##0">
                  <c:v>3950</c:v>
                </c:pt>
                <c:pt idx="2084" formatCode="#,##0">
                  <c:v>3950</c:v>
                </c:pt>
                <c:pt idx="2085" formatCode="#,##0">
                  <c:v>3950</c:v>
                </c:pt>
                <c:pt idx="2086" formatCode="#,##0">
                  <c:v>3950</c:v>
                </c:pt>
                <c:pt idx="2087" formatCode="#,##0">
                  <c:v>3950</c:v>
                </c:pt>
                <c:pt idx="2088" formatCode="#,##0">
                  <c:v>3950</c:v>
                </c:pt>
                <c:pt idx="2089" formatCode="#,##0">
                  <c:v>3950</c:v>
                </c:pt>
                <c:pt idx="2090" formatCode="#,##0">
                  <c:v>3950</c:v>
                </c:pt>
                <c:pt idx="2091" formatCode="#,##0">
                  <c:v>3950</c:v>
                </c:pt>
                <c:pt idx="2092" formatCode="#,##0">
                  <c:v>3950</c:v>
                </c:pt>
                <c:pt idx="2093" formatCode="#,##0">
                  <c:v>3950</c:v>
                </c:pt>
                <c:pt idx="2094" formatCode="#,##0">
                  <c:v>3950</c:v>
                </c:pt>
                <c:pt idx="2095" formatCode="#,##0">
                  <c:v>3950</c:v>
                </c:pt>
                <c:pt idx="2096" formatCode="#,##0">
                  <c:v>3950</c:v>
                </c:pt>
                <c:pt idx="2097" formatCode="#,##0">
                  <c:v>3950</c:v>
                </c:pt>
                <c:pt idx="2098" formatCode="#,##0">
                  <c:v>3950</c:v>
                </c:pt>
                <c:pt idx="2099" formatCode="#,##0">
                  <c:v>3950</c:v>
                </c:pt>
                <c:pt idx="2100" formatCode="#,##0">
                  <c:v>3950</c:v>
                </c:pt>
                <c:pt idx="2101" formatCode="#,##0">
                  <c:v>3950</c:v>
                </c:pt>
                <c:pt idx="2102" formatCode="#,##0">
                  <c:v>3950</c:v>
                </c:pt>
                <c:pt idx="2103" formatCode="#,##0">
                  <c:v>3950</c:v>
                </c:pt>
                <c:pt idx="2104" formatCode="#,##0">
                  <c:v>3950</c:v>
                </c:pt>
                <c:pt idx="2105" formatCode="#,##0">
                  <c:v>3950</c:v>
                </c:pt>
                <c:pt idx="2106" formatCode="#,##0">
                  <c:v>3950</c:v>
                </c:pt>
                <c:pt idx="2107" formatCode="#,##0">
                  <c:v>3950</c:v>
                </c:pt>
                <c:pt idx="2108" formatCode="#,##0">
                  <c:v>3950</c:v>
                </c:pt>
                <c:pt idx="2109" formatCode="#,##0">
                  <c:v>3950</c:v>
                </c:pt>
                <c:pt idx="2110" formatCode="#,##0">
                  <c:v>3950</c:v>
                </c:pt>
                <c:pt idx="2111" formatCode="#,##0">
                  <c:v>3950</c:v>
                </c:pt>
                <c:pt idx="2112" formatCode="#,##0">
                  <c:v>3950</c:v>
                </c:pt>
                <c:pt idx="2113" formatCode="#,##0">
                  <c:v>3950</c:v>
                </c:pt>
                <c:pt idx="2114" formatCode="#,##0">
                  <c:v>3950</c:v>
                </c:pt>
                <c:pt idx="2115" formatCode="#,##0">
                  <c:v>3950</c:v>
                </c:pt>
                <c:pt idx="2116" formatCode="#,##0">
                  <c:v>3950</c:v>
                </c:pt>
                <c:pt idx="2117" formatCode="#,##0">
                  <c:v>3950</c:v>
                </c:pt>
                <c:pt idx="2118" formatCode="#,##0">
                  <c:v>3950</c:v>
                </c:pt>
                <c:pt idx="2119" formatCode="#,##0">
                  <c:v>3950</c:v>
                </c:pt>
                <c:pt idx="2120" formatCode="#,##0">
                  <c:v>3950</c:v>
                </c:pt>
                <c:pt idx="2121" formatCode="#,##0">
                  <c:v>3950</c:v>
                </c:pt>
                <c:pt idx="2122" formatCode="#,##0">
                  <c:v>3950</c:v>
                </c:pt>
                <c:pt idx="2123" formatCode="#,##0">
                  <c:v>3950</c:v>
                </c:pt>
                <c:pt idx="2124" formatCode="#,##0">
                  <c:v>3950</c:v>
                </c:pt>
                <c:pt idx="2125" formatCode="#,##0">
                  <c:v>3950</c:v>
                </c:pt>
                <c:pt idx="2126" formatCode="#,##0">
                  <c:v>3950</c:v>
                </c:pt>
                <c:pt idx="2127" formatCode="#,##0">
                  <c:v>3950</c:v>
                </c:pt>
                <c:pt idx="2128" formatCode="#,##0">
                  <c:v>3950</c:v>
                </c:pt>
                <c:pt idx="2129" formatCode="#,##0">
                  <c:v>3950</c:v>
                </c:pt>
                <c:pt idx="2130" formatCode="#,##0">
                  <c:v>3950</c:v>
                </c:pt>
                <c:pt idx="2131" formatCode="#,##0">
                  <c:v>3950</c:v>
                </c:pt>
                <c:pt idx="2132" formatCode="#,##0">
                  <c:v>3950</c:v>
                </c:pt>
                <c:pt idx="2133" formatCode="#,##0">
                  <c:v>3950</c:v>
                </c:pt>
                <c:pt idx="2134" formatCode="#,##0">
                  <c:v>3950</c:v>
                </c:pt>
                <c:pt idx="2135" formatCode="#,##0">
                  <c:v>3950</c:v>
                </c:pt>
                <c:pt idx="2136" formatCode="#,##0">
                  <c:v>3950</c:v>
                </c:pt>
                <c:pt idx="2137" formatCode="#,##0">
                  <c:v>3950</c:v>
                </c:pt>
                <c:pt idx="2138" formatCode="#,##0">
                  <c:v>3950</c:v>
                </c:pt>
                <c:pt idx="2139" formatCode="#,##0">
                  <c:v>3950</c:v>
                </c:pt>
                <c:pt idx="2140" formatCode="#,##0">
                  <c:v>3950</c:v>
                </c:pt>
                <c:pt idx="2141" formatCode="#,##0">
                  <c:v>3950</c:v>
                </c:pt>
                <c:pt idx="2142" formatCode="#,##0">
                  <c:v>3950</c:v>
                </c:pt>
                <c:pt idx="2143" formatCode="#,##0">
                  <c:v>3950</c:v>
                </c:pt>
                <c:pt idx="2144" formatCode="#,##0">
                  <c:v>3950</c:v>
                </c:pt>
                <c:pt idx="2145" formatCode="#,##0">
                  <c:v>3950</c:v>
                </c:pt>
                <c:pt idx="2146" formatCode="#,##0">
                  <c:v>3950</c:v>
                </c:pt>
                <c:pt idx="2147" formatCode="#,##0">
                  <c:v>3950</c:v>
                </c:pt>
                <c:pt idx="2148" formatCode="#,##0">
                  <c:v>3950</c:v>
                </c:pt>
                <c:pt idx="2149" formatCode="#,##0">
                  <c:v>3950</c:v>
                </c:pt>
                <c:pt idx="2150" formatCode="#,##0">
                  <c:v>3950</c:v>
                </c:pt>
                <c:pt idx="2151" formatCode="#,##0">
                  <c:v>3950</c:v>
                </c:pt>
                <c:pt idx="2152" formatCode="#,##0">
                  <c:v>3950</c:v>
                </c:pt>
                <c:pt idx="2153" formatCode="#,##0">
                  <c:v>3950</c:v>
                </c:pt>
                <c:pt idx="2154" formatCode="#,##0">
                  <c:v>3950</c:v>
                </c:pt>
                <c:pt idx="2155" formatCode="#,##0">
                  <c:v>3950</c:v>
                </c:pt>
                <c:pt idx="2156" formatCode="#,##0">
                  <c:v>3950</c:v>
                </c:pt>
                <c:pt idx="2157" formatCode="#,##0">
                  <c:v>3950</c:v>
                </c:pt>
                <c:pt idx="2158" formatCode="#,##0">
                  <c:v>3950</c:v>
                </c:pt>
                <c:pt idx="2159" formatCode="#,##0">
                  <c:v>3950</c:v>
                </c:pt>
                <c:pt idx="2160" formatCode="#,##0">
                  <c:v>3950</c:v>
                </c:pt>
                <c:pt idx="2161" formatCode="#,##0">
                  <c:v>3950</c:v>
                </c:pt>
                <c:pt idx="2162" formatCode="#,##0">
                  <c:v>3950</c:v>
                </c:pt>
                <c:pt idx="2163" formatCode="#,##0">
                  <c:v>3950</c:v>
                </c:pt>
                <c:pt idx="2164" formatCode="#,##0">
                  <c:v>3950</c:v>
                </c:pt>
                <c:pt idx="2165" formatCode="#,##0">
                  <c:v>3950</c:v>
                </c:pt>
                <c:pt idx="2166" formatCode="#,##0">
                  <c:v>3950</c:v>
                </c:pt>
                <c:pt idx="2167" formatCode="#,##0">
                  <c:v>3950</c:v>
                </c:pt>
                <c:pt idx="2168" formatCode="#,##0">
                  <c:v>3950</c:v>
                </c:pt>
                <c:pt idx="2169" formatCode="#,##0">
                  <c:v>3950</c:v>
                </c:pt>
                <c:pt idx="2170" formatCode="#,##0">
                  <c:v>3950</c:v>
                </c:pt>
                <c:pt idx="2171" formatCode="#,##0">
                  <c:v>3950</c:v>
                </c:pt>
                <c:pt idx="2172" formatCode="#,##0">
                  <c:v>3950</c:v>
                </c:pt>
                <c:pt idx="2173" formatCode="#,##0">
                  <c:v>3950</c:v>
                </c:pt>
                <c:pt idx="2174" formatCode="#,##0">
                  <c:v>3950</c:v>
                </c:pt>
                <c:pt idx="2175" formatCode="#,##0">
                  <c:v>3950</c:v>
                </c:pt>
                <c:pt idx="2176" formatCode="#,##0">
                  <c:v>3950</c:v>
                </c:pt>
                <c:pt idx="2177" formatCode="#,##0">
                  <c:v>3950</c:v>
                </c:pt>
                <c:pt idx="2178" formatCode="#,##0">
                  <c:v>3950</c:v>
                </c:pt>
                <c:pt idx="2179" formatCode="#,##0">
                  <c:v>3950</c:v>
                </c:pt>
                <c:pt idx="2180" formatCode="#,##0">
                  <c:v>3950</c:v>
                </c:pt>
                <c:pt idx="2181" formatCode="#,##0">
                  <c:v>3950</c:v>
                </c:pt>
                <c:pt idx="2182" formatCode="#,##0">
                  <c:v>3950</c:v>
                </c:pt>
                <c:pt idx="2183" formatCode="#,##0">
                  <c:v>3950</c:v>
                </c:pt>
                <c:pt idx="2184" formatCode="#,##0">
                  <c:v>3950</c:v>
                </c:pt>
                <c:pt idx="2185" formatCode="#,##0">
                  <c:v>3950</c:v>
                </c:pt>
                <c:pt idx="2186" formatCode="#,##0">
                  <c:v>3950</c:v>
                </c:pt>
                <c:pt idx="2187" formatCode="#,##0">
                  <c:v>3950</c:v>
                </c:pt>
                <c:pt idx="2188" formatCode="#,##0">
                  <c:v>3950</c:v>
                </c:pt>
                <c:pt idx="2189" formatCode="#,##0">
                  <c:v>3950</c:v>
                </c:pt>
                <c:pt idx="2190" formatCode="#,##0">
                  <c:v>3950</c:v>
                </c:pt>
                <c:pt idx="2191" formatCode="#,##0">
                  <c:v>3950</c:v>
                </c:pt>
                <c:pt idx="2192" formatCode="#,##0">
                  <c:v>3950</c:v>
                </c:pt>
                <c:pt idx="2193" formatCode="#,##0">
                  <c:v>3950</c:v>
                </c:pt>
                <c:pt idx="2194" formatCode="#,##0">
                  <c:v>3950</c:v>
                </c:pt>
                <c:pt idx="2195" formatCode="#,##0">
                  <c:v>3950</c:v>
                </c:pt>
                <c:pt idx="2196" formatCode="#,##0">
                  <c:v>3950</c:v>
                </c:pt>
                <c:pt idx="2197" formatCode="#,##0">
                  <c:v>3950</c:v>
                </c:pt>
                <c:pt idx="2198" formatCode="#,##0">
                  <c:v>3950</c:v>
                </c:pt>
                <c:pt idx="2199" formatCode="#,##0">
                  <c:v>3950</c:v>
                </c:pt>
                <c:pt idx="2200" formatCode="#,##0">
                  <c:v>3950</c:v>
                </c:pt>
                <c:pt idx="2201" formatCode="#,##0">
                  <c:v>3950</c:v>
                </c:pt>
                <c:pt idx="2202" formatCode="#,##0">
                  <c:v>3950</c:v>
                </c:pt>
                <c:pt idx="2203" formatCode="#,##0">
                  <c:v>3950</c:v>
                </c:pt>
                <c:pt idx="2204" formatCode="#,##0">
                  <c:v>3950</c:v>
                </c:pt>
                <c:pt idx="2205" formatCode="#,##0">
                  <c:v>3950</c:v>
                </c:pt>
                <c:pt idx="2206" formatCode="#,##0">
                  <c:v>3950</c:v>
                </c:pt>
                <c:pt idx="2207" formatCode="#,##0">
                  <c:v>3950</c:v>
                </c:pt>
                <c:pt idx="2208" formatCode="#,##0">
                  <c:v>3950</c:v>
                </c:pt>
                <c:pt idx="2209" formatCode="#,##0">
                  <c:v>3950</c:v>
                </c:pt>
                <c:pt idx="2210" formatCode="#,##0">
                  <c:v>3950</c:v>
                </c:pt>
                <c:pt idx="2211" formatCode="#,##0">
                  <c:v>3950</c:v>
                </c:pt>
                <c:pt idx="2212" formatCode="#,##0">
                  <c:v>3950</c:v>
                </c:pt>
                <c:pt idx="2213" formatCode="#,##0">
                  <c:v>3950</c:v>
                </c:pt>
                <c:pt idx="2214" formatCode="#,##0">
                  <c:v>4250</c:v>
                </c:pt>
                <c:pt idx="2215" formatCode="#,##0">
                  <c:v>4250</c:v>
                </c:pt>
                <c:pt idx="2216" formatCode="#,##0">
                  <c:v>4250</c:v>
                </c:pt>
                <c:pt idx="2217" formatCode="#,##0">
                  <c:v>4250</c:v>
                </c:pt>
                <c:pt idx="2218" formatCode="#,##0">
                  <c:v>4250</c:v>
                </c:pt>
                <c:pt idx="2219" formatCode="#,##0">
                  <c:v>4250</c:v>
                </c:pt>
                <c:pt idx="2220" formatCode="#,##0">
                  <c:v>4250</c:v>
                </c:pt>
                <c:pt idx="2221" formatCode="#,##0">
                  <c:v>4250</c:v>
                </c:pt>
                <c:pt idx="2222" formatCode="#,##0">
                  <c:v>4250</c:v>
                </c:pt>
                <c:pt idx="2223" formatCode="#,##0">
                  <c:v>4250</c:v>
                </c:pt>
                <c:pt idx="2224" formatCode="#,##0">
                  <c:v>4250</c:v>
                </c:pt>
                <c:pt idx="2225" formatCode="#,##0">
                  <c:v>4250</c:v>
                </c:pt>
                <c:pt idx="2226" formatCode="#,##0">
                  <c:v>4250</c:v>
                </c:pt>
                <c:pt idx="2227" formatCode="#,##0">
                  <c:v>4250</c:v>
                </c:pt>
                <c:pt idx="2228" formatCode="#,##0">
                  <c:v>4250</c:v>
                </c:pt>
                <c:pt idx="2229" formatCode="#,##0">
                  <c:v>4250</c:v>
                </c:pt>
                <c:pt idx="2230" formatCode="#,##0">
                  <c:v>4250</c:v>
                </c:pt>
                <c:pt idx="2231" formatCode="#,##0">
                  <c:v>4250</c:v>
                </c:pt>
                <c:pt idx="2232" formatCode="#,##0">
                  <c:v>4250</c:v>
                </c:pt>
                <c:pt idx="2233" formatCode="#,##0">
                  <c:v>4250</c:v>
                </c:pt>
                <c:pt idx="2234" formatCode="#,##0">
                  <c:v>4250</c:v>
                </c:pt>
                <c:pt idx="2235" formatCode="#,##0">
                  <c:v>4250</c:v>
                </c:pt>
                <c:pt idx="2236" formatCode="#,##0">
                  <c:v>4250</c:v>
                </c:pt>
                <c:pt idx="2237" formatCode="#,##0">
                  <c:v>4250</c:v>
                </c:pt>
                <c:pt idx="2238" formatCode="#,##0">
                  <c:v>4250</c:v>
                </c:pt>
                <c:pt idx="2239" formatCode="#,##0">
                  <c:v>4250</c:v>
                </c:pt>
                <c:pt idx="2240" formatCode="#,##0">
                  <c:v>4250</c:v>
                </c:pt>
                <c:pt idx="2241" formatCode="#,##0">
                  <c:v>4250</c:v>
                </c:pt>
                <c:pt idx="2242" formatCode="#,##0">
                  <c:v>4250</c:v>
                </c:pt>
                <c:pt idx="2243" formatCode="#,##0">
                  <c:v>4250</c:v>
                </c:pt>
                <c:pt idx="2244" formatCode="#,##0">
                  <c:v>4250</c:v>
                </c:pt>
                <c:pt idx="2245" formatCode="#,##0">
                  <c:v>4250</c:v>
                </c:pt>
                <c:pt idx="2246" formatCode="#,##0">
                  <c:v>4250</c:v>
                </c:pt>
                <c:pt idx="2247" formatCode="#,##0">
                  <c:v>4250</c:v>
                </c:pt>
                <c:pt idx="2248" formatCode="#,##0">
                  <c:v>4250</c:v>
                </c:pt>
                <c:pt idx="2249" formatCode="#,##0">
                  <c:v>4250</c:v>
                </c:pt>
                <c:pt idx="2250" formatCode="#,##0">
                  <c:v>4250</c:v>
                </c:pt>
                <c:pt idx="2251" formatCode="#,##0">
                  <c:v>4250</c:v>
                </c:pt>
                <c:pt idx="2252" formatCode="#,##0">
                  <c:v>4250</c:v>
                </c:pt>
                <c:pt idx="2253" formatCode="#,##0">
                  <c:v>4250</c:v>
                </c:pt>
                <c:pt idx="2254" formatCode="#,##0">
                  <c:v>4250</c:v>
                </c:pt>
                <c:pt idx="2255" formatCode="#,##0">
                  <c:v>4250</c:v>
                </c:pt>
                <c:pt idx="2256" formatCode="#,##0">
                  <c:v>4250</c:v>
                </c:pt>
                <c:pt idx="2257" formatCode="#,##0">
                  <c:v>4250</c:v>
                </c:pt>
                <c:pt idx="2258" formatCode="#,##0">
                  <c:v>4250</c:v>
                </c:pt>
                <c:pt idx="2259" formatCode="#,##0">
                  <c:v>4250</c:v>
                </c:pt>
                <c:pt idx="2260" formatCode="#,##0">
                  <c:v>4250</c:v>
                </c:pt>
                <c:pt idx="2261" formatCode="#,##0">
                  <c:v>4250</c:v>
                </c:pt>
                <c:pt idx="2262" formatCode="#,##0">
                  <c:v>4250</c:v>
                </c:pt>
                <c:pt idx="2263" formatCode="#,##0">
                  <c:v>4250</c:v>
                </c:pt>
                <c:pt idx="2264" formatCode="#,##0">
                  <c:v>4250</c:v>
                </c:pt>
                <c:pt idx="2265" formatCode="#,##0">
                  <c:v>4250</c:v>
                </c:pt>
                <c:pt idx="2266" formatCode="#,##0">
                  <c:v>4250</c:v>
                </c:pt>
                <c:pt idx="2267" formatCode="#,##0">
                  <c:v>4250</c:v>
                </c:pt>
                <c:pt idx="2268" formatCode="#,##0">
                  <c:v>4250</c:v>
                </c:pt>
                <c:pt idx="2269" formatCode="#,##0">
                  <c:v>4250</c:v>
                </c:pt>
                <c:pt idx="2270" formatCode="#,##0">
                  <c:v>4250</c:v>
                </c:pt>
                <c:pt idx="2271" formatCode="#,##0">
                  <c:v>4250</c:v>
                </c:pt>
                <c:pt idx="2272" formatCode="#,##0">
                  <c:v>4250</c:v>
                </c:pt>
                <c:pt idx="2273" formatCode="#,##0">
                  <c:v>4250</c:v>
                </c:pt>
                <c:pt idx="2274" formatCode="#,##0">
                  <c:v>4250</c:v>
                </c:pt>
                <c:pt idx="2275" formatCode="#,##0">
                  <c:v>4250</c:v>
                </c:pt>
                <c:pt idx="2276" formatCode="#,##0">
                  <c:v>4250</c:v>
                </c:pt>
                <c:pt idx="2277" formatCode="#,##0">
                  <c:v>4250</c:v>
                </c:pt>
                <c:pt idx="2278" formatCode="#,##0">
                  <c:v>4250</c:v>
                </c:pt>
                <c:pt idx="2279" formatCode="#,##0">
                  <c:v>4250</c:v>
                </c:pt>
                <c:pt idx="2280" formatCode="#,##0">
                  <c:v>4250</c:v>
                </c:pt>
                <c:pt idx="2281" formatCode="#,##0">
                  <c:v>4250</c:v>
                </c:pt>
                <c:pt idx="2282" formatCode="#,##0">
                  <c:v>4250</c:v>
                </c:pt>
                <c:pt idx="2283" formatCode="#,##0">
                  <c:v>4250</c:v>
                </c:pt>
                <c:pt idx="2284" formatCode="#,##0">
                  <c:v>4250</c:v>
                </c:pt>
                <c:pt idx="2285" formatCode="#,##0">
                  <c:v>4250</c:v>
                </c:pt>
                <c:pt idx="2286" formatCode="#,##0">
                  <c:v>4250</c:v>
                </c:pt>
                <c:pt idx="2287" formatCode="#,##0">
                  <c:v>4250</c:v>
                </c:pt>
                <c:pt idx="2288" formatCode="#,##0">
                  <c:v>4250</c:v>
                </c:pt>
                <c:pt idx="2289" formatCode="#,##0">
                  <c:v>4250</c:v>
                </c:pt>
                <c:pt idx="2290" formatCode="#,##0">
                  <c:v>4250</c:v>
                </c:pt>
                <c:pt idx="2291" formatCode="#,##0">
                  <c:v>4250</c:v>
                </c:pt>
                <c:pt idx="2292" formatCode="#,##0">
                  <c:v>4250</c:v>
                </c:pt>
                <c:pt idx="2293" formatCode="#,##0">
                  <c:v>4250</c:v>
                </c:pt>
                <c:pt idx="2294" formatCode="#,##0">
                  <c:v>4250</c:v>
                </c:pt>
                <c:pt idx="2295" formatCode="#,##0">
                  <c:v>4250</c:v>
                </c:pt>
                <c:pt idx="2296" formatCode="#,##0">
                  <c:v>4250</c:v>
                </c:pt>
                <c:pt idx="2297" formatCode="#,##0">
                  <c:v>4250</c:v>
                </c:pt>
                <c:pt idx="2298" formatCode="#,##0">
                  <c:v>4250</c:v>
                </c:pt>
                <c:pt idx="2299" formatCode="#,##0">
                  <c:v>4250</c:v>
                </c:pt>
                <c:pt idx="2300" formatCode="#,##0">
                  <c:v>4250</c:v>
                </c:pt>
                <c:pt idx="2301" formatCode="#,##0">
                  <c:v>4250</c:v>
                </c:pt>
                <c:pt idx="2302" formatCode="#,##0">
                  <c:v>4250</c:v>
                </c:pt>
                <c:pt idx="2303" formatCode="#,##0">
                  <c:v>4250</c:v>
                </c:pt>
                <c:pt idx="2304" formatCode="#,##0">
                  <c:v>4250</c:v>
                </c:pt>
                <c:pt idx="2305" formatCode="#,##0">
                  <c:v>4250</c:v>
                </c:pt>
                <c:pt idx="2306" formatCode="#,##0">
                  <c:v>4250</c:v>
                </c:pt>
                <c:pt idx="2307" formatCode="#,##0">
                  <c:v>4250</c:v>
                </c:pt>
                <c:pt idx="2308" formatCode="#,##0">
                  <c:v>4250</c:v>
                </c:pt>
                <c:pt idx="2309" formatCode="#,##0">
                  <c:v>4250</c:v>
                </c:pt>
                <c:pt idx="2310" formatCode="#,##0">
                  <c:v>4250</c:v>
                </c:pt>
                <c:pt idx="2311" formatCode="#,##0">
                  <c:v>4250</c:v>
                </c:pt>
                <c:pt idx="2312" formatCode="#,##0">
                  <c:v>4250</c:v>
                </c:pt>
                <c:pt idx="2313" formatCode="#,##0">
                  <c:v>4250</c:v>
                </c:pt>
                <c:pt idx="2314" formatCode="#,##0">
                  <c:v>4250</c:v>
                </c:pt>
                <c:pt idx="2315" formatCode="#,##0">
                  <c:v>4250</c:v>
                </c:pt>
                <c:pt idx="2316" formatCode="#,##0">
                  <c:v>4250</c:v>
                </c:pt>
                <c:pt idx="2317" formatCode="#,##0">
                  <c:v>4250</c:v>
                </c:pt>
                <c:pt idx="2318" formatCode="#,##0">
                  <c:v>4250</c:v>
                </c:pt>
                <c:pt idx="2319" formatCode="#,##0">
                  <c:v>4250</c:v>
                </c:pt>
                <c:pt idx="2320" formatCode="#,##0">
                  <c:v>4250</c:v>
                </c:pt>
                <c:pt idx="2321" formatCode="#,##0">
                  <c:v>4250</c:v>
                </c:pt>
                <c:pt idx="2322" formatCode="#,##0">
                  <c:v>4250</c:v>
                </c:pt>
                <c:pt idx="2323" formatCode="#,##0">
                  <c:v>4250</c:v>
                </c:pt>
                <c:pt idx="2324" formatCode="#,##0">
                  <c:v>4250</c:v>
                </c:pt>
                <c:pt idx="2325" formatCode="#,##0">
                  <c:v>4250</c:v>
                </c:pt>
                <c:pt idx="2326" formatCode="#,##0">
                  <c:v>4250</c:v>
                </c:pt>
                <c:pt idx="2327" formatCode="#,##0">
                  <c:v>4250</c:v>
                </c:pt>
                <c:pt idx="2328" formatCode="#,##0">
                  <c:v>4250</c:v>
                </c:pt>
                <c:pt idx="2329" formatCode="#,##0">
                  <c:v>4250</c:v>
                </c:pt>
                <c:pt idx="2330" formatCode="#,##0">
                  <c:v>4250</c:v>
                </c:pt>
                <c:pt idx="2331" formatCode="#,##0">
                  <c:v>4250</c:v>
                </c:pt>
                <c:pt idx="2332" formatCode="#,##0">
                  <c:v>4250</c:v>
                </c:pt>
                <c:pt idx="2333" formatCode="#,##0">
                  <c:v>4250</c:v>
                </c:pt>
                <c:pt idx="2334" formatCode="#,##0">
                  <c:v>4250</c:v>
                </c:pt>
                <c:pt idx="2335" formatCode="#,##0">
                  <c:v>4250</c:v>
                </c:pt>
                <c:pt idx="2336" formatCode="#,##0">
                  <c:v>4250</c:v>
                </c:pt>
                <c:pt idx="2337" formatCode="#,##0">
                  <c:v>4250</c:v>
                </c:pt>
                <c:pt idx="2338" formatCode="#,##0">
                  <c:v>4250</c:v>
                </c:pt>
                <c:pt idx="2339" formatCode="#,##0">
                  <c:v>4250</c:v>
                </c:pt>
                <c:pt idx="2340" formatCode="#,##0">
                  <c:v>4250</c:v>
                </c:pt>
                <c:pt idx="2341" formatCode="#,##0">
                  <c:v>4250</c:v>
                </c:pt>
                <c:pt idx="2342" formatCode="#,##0">
                  <c:v>4250</c:v>
                </c:pt>
                <c:pt idx="2343" formatCode="#,##0">
                  <c:v>4250</c:v>
                </c:pt>
                <c:pt idx="2344" formatCode="#,##0">
                  <c:v>4250</c:v>
                </c:pt>
                <c:pt idx="2345" formatCode="#,##0">
                  <c:v>4250</c:v>
                </c:pt>
                <c:pt idx="2346" formatCode="#,##0">
                  <c:v>4250</c:v>
                </c:pt>
                <c:pt idx="2347" formatCode="#,##0">
                  <c:v>4250</c:v>
                </c:pt>
                <c:pt idx="2348" formatCode="#,##0">
                  <c:v>4250</c:v>
                </c:pt>
                <c:pt idx="2349" formatCode="#,##0">
                  <c:v>4250</c:v>
                </c:pt>
                <c:pt idx="2350" formatCode="#,##0">
                  <c:v>4250</c:v>
                </c:pt>
                <c:pt idx="2351" formatCode="#,##0">
                  <c:v>4250</c:v>
                </c:pt>
                <c:pt idx="2352" formatCode="#,##0">
                  <c:v>4250</c:v>
                </c:pt>
                <c:pt idx="2353" formatCode="#,##0">
                  <c:v>4250</c:v>
                </c:pt>
                <c:pt idx="2354" formatCode="#,##0">
                  <c:v>4250</c:v>
                </c:pt>
                <c:pt idx="2355" formatCode="#,##0">
                  <c:v>4250</c:v>
                </c:pt>
                <c:pt idx="2356" formatCode="#,##0">
                  <c:v>4250</c:v>
                </c:pt>
                <c:pt idx="2357" formatCode="#,##0">
                  <c:v>4250</c:v>
                </c:pt>
                <c:pt idx="2358" formatCode="#,##0">
                  <c:v>4250</c:v>
                </c:pt>
                <c:pt idx="2359" formatCode="#,##0">
                  <c:v>4250</c:v>
                </c:pt>
                <c:pt idx="2360" formatCode="#,##0">
                  <c:v>4250</c:v>
                </c:pt>
                <c:pt idx="2361" formatCode="#,##0">
                  <c:v>4250</c:v>
                </c:pt>
                <c:pt idx="2362" formatCode="#,##0">
                  <c:v>4250</c:v>
                </c:pt>
                <c:pt idx="2363" formatCode="#,##0">
                  <c:v>4250</c:v>
                </c:pt>
                <c:pt idx="2364" formatCode="#,##0">
                  <c:v>4250</c:v>
                </c:pt>
                <c:pt idx="2365" formatCode="#,##0">
                  <c:v>4250</c:v>
                </c:pt>
                <c:pt idx="2366" formatCode="#,##0">
                  <c:v>4250</c:v>
                </c:pt>
                <c:pt idx="2367" formatCode="#,##0">
                  <c:v>4250</c:v>
                </c:pt>
                <c:pt idx="2368" formatCode="#,##0">
                  <c:v>4250</c:v>
                </c:pt>
                <c:pt idx="2369" formatCode="#,##0">
                  <c:v>4250</c:v>
                </c:pt>
                <c:pt idx="2370" formatCode="#,##0">
                  <c:v>4250</c:v>
                </c:pt>
                <c:pt idx="2371" formatCode="#,##0">
                  <c:v>4250</c:v>
                </c:pt>
                <c:pt idx="2372" formatCode="#,##0">
                  <c:v>4250</c:v>
                </c:pt>
                <c:pt idx="2373" formatCode="#,##0">
                  <c:v>4250</c:v>
                </c:pt>
                <c:pt idx="2374" formatCode="#,##0">
                  <c:v>4250</c:v>
                </c:pt>
                <c:pt idx="2375" formatCode="#,##0">
                  <c:v>4250</c:v>
                </c:pt>
                <c:pt idx="2376" formatCode="#,##0">
                  <c:v>4250</c:v>
                </c:pt>
                <c:pt idx="2377" formatCode="#,##0">
                  <c:v>4550</c:v>
                </c:pt>
                <c:pt idx="2378" formatCode="#,##0">
                  <c:v>4550</c:v>
                </c:pt>
                <c:pt idx="2379" formatCode="#,##0">
                  <c:v>4550</c:v>
                </c:pt>
                <c:pt idx="2380" formatCode="#,##0">
                  <c:v>4550</c:v>
                </c:pt>
                <c:pt idx="2381" formatCode="#,##0">
                  <c:v>4550</c:v>
                </c:pt>
                <c:pt idx="2382" formatCode="#,##0">
                  <c:v>4550</c:v>
                </c:pt>
                <c:pt idx="2383" formatCode="#,##0">
                  <c:v>4550</c:v>
                </c:pt>
                <c:pt idx="2384" formatCode="#,##0">
                  <c:v>4550</c:v>
                </c:pt>
                <c:pt idx="2385" formatCode="#,##0">
                  <c:v>4550</c:v>
                </c:pt>
                <c:pt idx="2386" formatCode="#,##0">
                  <c:v>4550</c:v>
                </c:pt>
                <c:pt idx="2387" formatCode="#,##0">
                  <c:v>4550</c:v>
                </c:pt>
                <c:pt idx="2388" formatCode="#,##0">
                  <c:v>4550</c:v>
                </c:pt>
                <c:pt idx="2389" formatCode="#,##0">
                  <c:v>4550</c:v>
                </c:pt>
                <c:pt idx="2390" formatCode="#,##0">
                  <c:v>4550</c:v>
                </c:pt>
                <c:pt idx="2391" formatCode="#,##0">
                  <c:v>4550</c:v>
                </c:pt>
                <c:pt idx="2392" formatCode="#,##0">
                  <c:v>4550</c:v>
                </c:pt>
                <c:pt idx="2393" formatCode="#,##0">
                  <c:v>4550</c:v>
                </c:pt>
                <c:pt idx="2394" formatCode="#,##0">
                  <c:v>4550</c:v>
                </c:pt>
                <c:pt idx="2395" formatCode="#,##0">
                  <c:v>4550</c:v>
                </c:pt>
                <c:pt idx="2396" formatCode="#,##0">
                  <c:v>4550</c:v>
                </c:pt>
                <c:pt idx="2397" formatCode="#,##0">
                  <c:v>4550</c:v>
                </c:pt>
                <c:pt idx="2398" formatCode="#,##0">
                  <c:v>4550</c:v>
                </c:pt>
                <c:pt idx="2399" formatCode="#,##0">
                  <c:v>4550</c:v>
                </c:pt>
                <c:pt idx="2400" formatCode="#,##0">
                  <c:v>4550</c:v>
                </c:pt>
                <c:pt idx="2401" formatCode="#,##0">
                  <c:v>4550</c:v>
                </c:pt>
                <c:pt idx="2402" formatCode="#,##0">
                  <c:v>4550</c:v>
                </c:pt>
                <c:pt idx="2403" formatCode="#,##0">
                  <c:v>4550</c:v>
                </c:pt>
                <c:pt idx="2404" formatCode="#,##0">
                  <c:v>4550</c:v>
                </c:pt>
                <c:pt idx="2405" formatCode="#,##0">
                  <c:v>4550</c:v>
                </c:pt>
                <c:pt idx="2406" formatCode="#,##0">
                  <c:v>4550</c:v>
                </c:pt>
                <c:pt idx="2407" formatCode="#,##0">
                  <c:v>4550</c:v>
                </c:pt>
                <c:pt idx="2408" formatCode="#,##0">
                  <c:v>4550</c:v>
                </c:pt>
                <c:pt idx="2409" formatCode="#,##0">
                  <c:v>4550</c:v>
                </c:pt>
                <c:pt idx="2410" formatCode="#,##0">
                  <c:v>4550</c:v>
                </c:pt>
                <c:pt idx="2411" formatCode="#,##0">
                  <c:v>4550</c:v>
                </c:pt>
                <c:pt idx="2412" formatCode="#,##0">
                  <c:v>4550</c:v>
                </c:pt>
                <c:pt idx="2413" formatCode="#,##0">
                  <c:v>4550</c:v>
                </c:pt>
                <c:pt idx="2414" formatCode="#,##0">
                  <c:v>4550</c:v>
                </c:pt>
                <c:pt idx="2415" formatCode="#,##0">
                  <c:v>4550</c:v>
                </c:pt>
                <c:pt idx="2416" formatCode="#,##0">
                  <c:v>4550</c:v>
                </c:pt>
                <c:pt idx="2417" formatCode="#,##0">
                  <c:v>4550</c:v>
                </c:pt>
                <c:pt idx="2418" formatCode="#,##0">
                  <c:v>4550</c:v>
                </c:pt>
                <c:pt idx="2419" formatCode="#,##0">
                  <c:v>4550</c:v>
                </c:pt>
                <c:pt idx="2420" formatCode="#,##0">
                  <c:v>4550</c:v>
                </c:pt>
                <c:pt idx="2421" formatCode="#,##0">
                  <c:v>4550</c:v>
                </c:pt>
                <c:pt idx="2422" formatCode="#,##0">
                  <c:v>4550</c:v>
                </c:pt>
                <c:pt idx="2423" formatCode="#,##0">
                  <c:v>4550</c:v>
                </c:pt>
                <c:pt idx="2424" formatCode="#,##0">
                  <c:v>4550</c:v>
                </c:pt>
                <c:pt idx="2425" formatCode="#,##0">
                  <c:v>4550</c:v>
                </c:pt>
                <c:pt idx="2426" formatCode="#,##0">
                  <c:v>4550</c:v>
                </c:pt>
                <c:pt idx="2427" formatCode="#,##0">
                  <c:v>4550</c:v>
                </c:pt>
                <c:pt idx="2428" formatCode="#,##0">
                  <c:v>4550</c:v>
                </c:pt>
                <c:pt idx="2429" formatCode="#,##0">
                  <c:v>4550</c:v>
                </c:pt>
                <c:pt idx="2430" formatCode="#,##0">
                  <c:v>4550</c:v>
                </c:pt>
                <c:pt idx="2431" formatCode="#,##0">
                  <c:v>4550</c:v>
                </c:pt>
                <c:pt idx="2432" formatCode="#,##0">
                  <c:v>4550</c:v>
                </c:pt>
                <c:pt idx="2433" formatCode="#,##0">
                  <c:v>4550</c:v>
                </c:pt>
                <c:pt idx="2434" formatCode="#,##0">
                  <c:v>4550</c:v>
                </c:pt>
                <c:pt idx="2435" formatCode="#,##0">
                  <c:v>4550</c:v>
                </c:pt>
                <c:pt idx="2436" formatCode="#,##0">
                  <c:v>4550</c:v>
                </c:pt>
                <c:pt idx="2437" formatCode="#,##0">
                  <c:v>4550</c:v>
                </c:pt>
                <c:pt idx="2438" formatCode="#,##0">
                  <c:v>4550</c:v>
                </c:pt>
                <c:pt idx="2439" formatCode="#,##0">
                  <c:v>4550</c:v>
                </c:pt>
                <c:pt idx="2440" formatCode="#,##0">
                  <c:v>4550</c:v>
                </c:pt>
                <c:pt idx="2441" formatCode="#,##0">
                  <c:v>4550</c:v>
                </c:pt>
                <c:pt idx="2442" formatCode="#,##0">
                  <c:v>4550</c:v>
                </c:pt>
                <c:pt idx="2443" formatCode="#,##0">
                  <c:v>4550</c:v>
                </c:pt>
                <c:pt idx="2444" formatCode="#,##0">
                  <c:v>4550</c:v>
                </c:pt>
                <c:pt idx="2445" formatCode="#,##0">
                  <c:v>4550</c:v>
                </c:pt>
                <c:pt idx="2446" formatCode="#,##0">
                  <c:v>4550</c:v>
                </c:pt>
                <c:pt idx="2447" formatCode="#,##0">
                  <c:v>4550</c:v>
                </c:pt>
                <c:pt idx="2448" formatCode="#,##0">
                  <c:v>4550</c:v>
                </c:pt>
                <c:pt idx="2449" formatCode="#,##0">
                  <c:v>4550</c:v>
                </c:pt>
                <c:pt idx="2450" formatCode="#,##0">
                  <c:v>4550</c:v>
                </c:pt>
                <c:pt idx="2451" formatCode="#,##0">
                  <c:v>4550</c:v>
                </c:pt>
                <c:pt idx="2452" formatCode="#,##0">
                  <c:v>4550</c:v>
                </c:pt>
                <c:pt idx="2453" formatCode="#,##0">
                  <c:v>4550</c:v>
                </c:pt>
                <c:pt idx="2454" formatCode="#,##0">
                  <c:v>4550</c:v>
                </c:pt>
                <c:pt idx="2455" formatCode="#,##0">
                  <c:v>4550</c:v>
                </c:pt>
                <c:pt idx="2456" formatCode="#,##0">
                  <c:v>4550</c:v>
                </c:pt>
                <c:pt idx="2457" formatCode="#,##0">
                  <c:v>4550</c:v>
                </c:pt>
                <c:pt idx="2458" formatCode="#,##0">
                  <c:v>4550</c:v>
                </c:pt>
                <c:pt idx="2459" formatCode="#,##0">
                  <c:v>4550</c:v>
                </c:pt>
                <c:pt idx="2460" formatCode="#,##0">
                  <c:v>4550</c:v>
                </c:pt>
                <c:pt idx="2461" formatCode="#,##0">
                  <c:v>4550</c:v>
                </c:pt>
                <c:pt idx="2462" formatCode="#,##0">
                  <c:v>4550</c:v>
                </c:pt>
                <c:pt idx="2463" formatCode="#,##0">
                  <c:v>4550</c:v>
                </c:pt>
                <c:pt idx="2464" formatCode="#,##0">
                  <c:v>4550</c:v>
                </c:pt>
                <c:pt idx="2465" formatCode="#,##0">
                  <c:v>4550</c:v>
                </c:pt>
                <c:pt idx="2466" formatCode="#,##0">
                  <c:v>4550</c:v>
                </c:pt>
                <c:pt idx="2467" formatCode="#,##0">
                  <c:v>4550</c:v>
                </c:pt>
                <c:pt idx="2468" formatCode="#,##0">
                  <c:v>4550</c:v>
                </c:pt>
                <c:pt idx="2469" formatCode="#,##0">
                  <c:v>4550</c:v>
                </c:pt>
                <c:pt idx="2470" formatCode="#,##0">
                  <c:v>4550</c:v>
                </c:pt>
                <c:pt idx="2471" formatCode="#,##0">
                  <c:v>4550</c:v>
                </c:pt>
                <c:pt idx="2472" formatCode="#,##0">
                  <c:v>4550</c:v>
                </c:pt>
                <c:pt idx="2473" formatCode="#,##0">
                  <c:v>4550</c:v>
                </c:pt>
                <c:pt idx="2474" formatCode="#,##0">
                  <c:v>4550</c:v>
                </c:pt>
                <c:pt idx="2475" formatCode="#,##0">
                  <c:v>4550</c:v>
                </c:pt>
                <c:pt idx="2476" formatCode="#,##0">
                  <c:v>4550</c:v>
                </c:pt>
                <c:pt idx="2477" formatCode="#,##0">
                  <c:v>4550</c:v>
                </c:pt>
                <c:pt idx="2478" formatCode="#,##0">
                  <c:v>4550</c:v>
                </c:pt>
                <c:pt idx="2479" formatCode="#,##0">
                  <c:v>4550</c:v>
                </c:pt>
                <c:pt idx="2480" formatCode="#,##0">
                  <c:v>4550</c:v>
                </c:pt>
                <c:pt idx="2481" formatCode="#,##0">
                  <c:v>4550</c:v>
                </c:pt>
                <c:pt idx="2482" formatCode="#,##0">
                  <c:v>4550</c:v>
                </c:pt>
                <c:pt idx="2483" formatCode="#,##0">
                  <c:v>4550</c:v>
                </c:pt>
                <c:pt idx="2484" formatCode="#,##0">
                  <c:v>4550</c:v>
                </c:pt>
                <c:pt idx="2485" formatCode="#,##0">
                  <c:v>4550</c:v>
                </c:pt>
                <c:pt idx="2486" formatCode="#,##0">
                  <c:v>4550</c:v>
                </c:pt>
                <c:pt idx="2487" formatCode="#,##0">
                  <c:v>4550</c:v>
                </c:pt>
                <c:pt idx="2488" formatCode="#,##0">
                  <c:v>4550</c:v>
                </c:pt>
                <c:pt idx="2489" formatCode="#,##0">
                  <c:v>4550</c:v>
                </c:pt>
                <c:pt idx="2490" formatCode="#,##0">
                  <c:v>4550</c:v>
                </c:pt>
                <c:pt idx="2491" formatCode="#,##0">
                  <c:v>4550</c:v>
                </c:pt>
                <c:pt idx="2492" formatCode="#,##0">
                  <c:v>4550</c:v>
                </c:pt>
                <c:pt idx="2493" formatCode="#,##0">
                  <c:v>4550</c:v>
                </c:pt>
                <c:pt idx="2494" formatCode="#,##0">
                  <c:v>4550</c:v>
                </c:pt>
                <c:pt idx="2495" formatCode="#,##0">
                  <c:v>4550</c:v>
                </c:pt>
                <c:pt idx="2496" formatCode="#,##0">
                  <c:v>4550</c:v>
                </c:pt>
                <c:pt idx="2497" formatCode="#,##0">
                  <c:v>4550</c:v>
                </c:pt>
                <c:pt idx="2498" formatCode="#,##0">
                  <c:v>4550</c:v>
                </c:pt>
                <c:pt idx="2499" formatCode="#,##0">
                  <c:v>4550</c:v>
                </c:pt>
                <c:pt idx="2500" formatCode="#,##0">
                  <c:v>4550</c:v>
                </c:pt>
                <c:pt idx="2501" formatCode="#,##0">
                  <c:v>4550</c:v>
                </c:pt>
                <c:pt idx="2502" formatCode="#,##0">
                  <c:v>4550</c:v>
                </c:pt>
                <c:pt idx="2503" formatCode="#,##0">
                  <c:v>4550</c:v>
                </c:pt>
                <c:pt idx="2504" formatCode="#,##0">
                  <c:v>4550</c:v>
                </c:pt>
                <c:pt idx="2505" formatCode="#,##0">
                  <c:v>4550</c:v>
                </c:pt>
                <c:pt idx="2506" formatCode="#,##0">
                  <c:v>4550</c:v>
                </c:pt>
                <c:pt idx="2507" formatCode="#,##0">
                  <c:v>4550</c:v>
                </c:pt>
                <c:pt idx="2508" formatCode="#,##0">
                  <c:v>4550</c:v>
                </c:pt>
                <c:pt idx="2509" formatCode="#,##0">
                  <c:v>4550</c:v>
                </c:pt>
                <c:pt idx="2510" formatCode="#,##0">
                  <c:v>4550</c:v>
                </c:pt>
                <c:pt idx="2511" formatCode="#,##0">
                  <c:v>4550</c:v>
                </c:pt>
                <c:pt idx="2512" formatCode="#,##0">
                  <c:v>4550</c:v>
                </c:pt>
                <c:pt idx="2513" formatCode="#,##0">
                  <c:v>4550</c:v>
                </c:pt>
                <c:pt idx="2514" formatCode="#,##0">
                  <c:v>4550</c:v>
                </c:pt>
                <c:pt idx="2515" formatCode="#,##0">
                  <c:v>4550</c:v>
                </c:pt>
                <c:pt idx="2516" formatCode="#,##0">
                  <c:v>4550</c:v>
                </c:pt>
                <c:pt idx="2517" formatCode="#,##0">
                  <c:v>4550</c:v>
                </c:pt>
                <c:pt idx="2518" formatCode="#,##0">
                  <c:v>4550</c:v>
                </c:pt>
                <c:pt idx="2519" formatCode="#,##0">
                  <c:v>4550</c:v>
                </c:pt>
                <c:pt idx="2520" formatCode="#,##0">
                  <c:v>4550</c:v>
                </c:pt>
                <c:pt idx="2521" formatCode="#,##0">
                  <c:v>4550</c:v>
                </c:pt>
                <c:pt idx="2522" formatCode="#,##0">
                  <c:v>4550</c:v>
                </c:pt>
                <c:pt idx="2523" formatCode="#,##0">
                  <c:v>4550</c:v>
                </c:pt>
                <c:pt idx="2524" formatCode="#,##0">
                  <c:v>4550</c:v>
                </c:pt>
                <c:pt idx="2525" formatCode="#,##0">
                  <c:v>4550</c:v>
                </c:pt>
                <c:pt idx="2526" formatCode="#,##0">
                  <c:v>4550</c:v>
                </c:pt>
                <c:pt idx="2527" formatCode="#,##0">
                  <c:v>4550</c:v>
                </c:pt>
                <c:pt idx="2528" formatCode="#,##0">
                  <c:v>4550</c:v>
                </c:pt>
                <c:pt idx="2529" formatCode="#,##0">
                  <c:v>4550</c:v>
                </c:pt>
                <c:pt idx="2530" formatCode="#,##0">
                  <c:v>4550</c:v>
                </c:pt>
                <c:pt idx="2531" formatCode="#,##0">
                  <c:v>4550</c:v>
                </c:pt>
                <c:pt idx="2532" formatCode="#,##0">
                  <c:v>4550</c:v>
                </c:pt>
                <c:pt idx="2533" formatCode="#,##0">
                  <c:v>4550</c:v>
                </c:pt>
                <c:pt idx="2534" formatCode="#,##0">
                  <c:v>4550</c:v>
                </c:pt>
                <c:pt idx="2535" formatCode="#,##0">
                  <c:v>4550</c:v>
                </c:pt>
                <c:pt idx="2536" formatCode="#,##0">
                  <c:v>4550</c:v>
                </c:pt>
                <c:pt idx="2537" formatCode="#,##0">
                  <c:v>4550</c:v>
                </c:pt>
                <c:pt idx="2538" formatCode="#,##0">
                  <c:v>4550</c:v>
                </c:pt>
                <c:pt idx="2539" formatCode="#,##0">
                  <c:v>4550</c:v>
                </c:pt>
                <c:pt idx="2540" formatCode="#,##0">
                  <c:v>4550</c:v>
                </c:pt>
                <c:pt idx="2541" formatCode="#,##0">
                  <c:v>4550</c:v>
                </c:pt>
                <c:pt idx="2542" formatCode="#,##0">
                  <c:v>4550</c:v>
                </c:pt>
                <c:pt idx="2543" formatCode="#,##0">
                  <c:v>4550</c:v>
                </c:pt>
                <c:pt idx="2544" formatCode="#,##0">
                  <c:v>4550</c:v>
                </c:pt>
                <c:pt idx="2545" formatCode="#,##0">
                  <c:v>4550</c:v>
                </c:pt>
                <c:pt idx="2546" formatCode="#,##0">
                  <c:v>4550</c:v>
                </c:pt>
                <c:pt idx="2547" formatCode="#,##0">
                  <c:v>4550</c:v>
                </c:pt>
                <c:pt idx="2548" formatCode="#,##0">
                  <c:v>4550</c:v>
                </c:pt>
                <c:pt idx="2549" formatCode="#,##0">
                  <c:v>4550</c:v>
                </c:pt>
                <c:pt idx="2550" formatCode="#,##0">
                  <c:v>4550</c:v>
                </c:pt>
                <c:pt idx="2551" formatCode="#,##0">
                  <c:v>4550</c:v>
                </c:pt>
                <c:pt idx="2552" formatCode="#,##0">
                  <c:v>4550</c:v>
                </c:pt>
                <c:pt idx="2553" formatCode="#,##0">
                  <c:v>4550</c:v>
                </c:pt>
                <c:pt idx="2554" formatCode="#,##0">
                  <c:v>4550</c:v>
                </c:pt>
                <c:pt idx="2555" formatCode="#,##0">
                  <c:v>4850</c:v>
                </c:pt>
                <c:pt idx="2556" formatCode="#,##0">
                  <c:v>4850</c:v>
                </c:pt>
                <c:pt idx="2557" formatCode="#,##0">
                  <c:v>4850</c:v>
                </c:pt>
                <c:pt idx="2558" formatCode="#,##0">
                  <c:v>4850</c:v>
                </c:pt>
                <c:pt idx="2559" formatCode="#,##0">
                  <c:v>4850</c:v>
                </c:pt>
                <c:pt idx="2560" formatCode="#,##0">
                  <c:v>4850</c:v>
                </c:pt>
                <c:pt idx="2561" formatCode="#,##0">
                  <c:v>4850</c:v>
                </c:pt>
                <c:pt idx="2562" formatCode="#,##0">
                  <c:v>4850</c:v>
                </c:pt>
                <c:pt idx="2563" formatCode="#,##0">
                  <c:v>4850</c:v>
                </c:pt>
                <c:pt idx="2564" formatCode="#,##0">
                  <c:v>4850</c:v>
                </c:pt>
                <c:pt idx="2565" formatCode="#,##0">
                  <c:v>4850</c:v>
                </c:pt>
                <c:pt idx="2566" formatCode="#,##0">
                  <c:v>4850</c:v>
                </c:pt>
                <c:pt idx="2567" formatCode="#,##0">
                  <c:v>4850</c:v>
                </c:pt>
                <c:pt idx="2568" formatCode="#,##0">
                  <c:v>4850</c:v>
                </c:pt>
                <c:pt idx="2569" formatCode="#,##0">
                  <c:v>4850</c:v>
                </c:pt>
                <c:pt idx="2570" formatCode="#,##0">
                  <c:v>4850</c:v>
                </c:pt>
                <c:pt idx="2571" formatCode="#,##0">
                  <c:v>4850</c:v>
                </c:pt>
                <c:pt idx="2572" formatCode="#,##0">
                  <c:v>4850</c:v>
                </c:pt>
                <c:pt idx="2573" formatCode="#,##0">
                  <c:v>4850</c:v>
                </c:pt>
                <c:pt idx="2574" formatCode="#,##0">
                  <c:v>4850</c:v>
                </c:pt>
                <c:pt idx="2575" formatCode="#,##0">
                  <c:v>4850</c:v>
                </c:pt>
                <c:pt idx="2576" formatCode="#,##0">
                  <c:v>4850</c:v>
                </c:pt>
                <c:pt idx="2577" formatCode="#,##0">
                  <c:v>4850</c:v>
                </c:pt>
                <c:pt idx="2578" formatCode="#,##0">
                  <c:v>4850</c:v>
                </c:pt>
                <c:pt idx="2579" formatCode="#,##0">
                  <c:v>4850</c:v>
                </c:pt>
                <c:pt idx="2580" formatCode="#,##0">
                  <c:v>4850</c:v>
                </c:pt>
                <c:pt idx="2581" formatCode="#,##0">
                  <c:v>4850</c:v>
                </c:pt>
                <c:pt idx="2582" formatCode="#,##0">
                  <c:v>4850</c:v>
                </c:pt>
                <c:pt idx="2583" formatCode="#,##0">
                  <c:v>4850</c:v>
                </c:pt>
                <c:pt idx="2584" formatCode="#,##0">
                  <c:v>4850</c:v>
                </c:pt>
                <c:pt idx="2585" formatCode="#,##0">
                  <c:v>4850</c:v>
                </c:pt>
                <c:pt idx="2586" formatCode="#,##0">
                  <c:v>4850</c:v>
                </c:pt>
                <c:pt idx="2587" formatCode="#,##0">
                  <c:v>4850</c:v>
                </c:pt>
                <c:pt idx="2588" formatCode="#,##0">
                  <c:v>4850</c:v>
                </c:pt>
                <c:pt idx="2589" formatCode="#,##0">
                  <c:v>4850</c:v>
                </c:pt>
                <c:pt idx="2590" formatCode="#,##0">
                  <c:v>4850</c:v>
                </c:pt>
                <c:pt idx="2591" formatCode="#,##0">
                  <c:v>4850</c:v>
                </c:pt>
                <c:pt idx="2592" formatCode="#,##0">
                  <c:v>4850</c:v>
                </c:pt>
                <c:pt idx="2593" formatCode="#,##0">
                  <c:v>4850</c:v>
                </c:pt>
                <c:pt idx="2594" formatCode="#,##0">
                  <c:v>4850</c:v>
                </c:pt>
                <c:pt idx="2595" formatCode="#,##0">
                  <c:v>4850</c:v>
                </c:pt>
                <c:pt idx="2596" formatCode="#,##0">
                  <c:v>4850</c:v>
                </c:pt>
                <c:pt idx="2597" formatCode="#,##0">
                  <c:v>4850</c:v>
                </c:pt>
                <c:pt idx="2598" formatCode="#,##0">
                  <c:v>4850</c:v>
                </c:pt>
                <c:pt idx="2599" formatCode="#,##0">
                  <c:v>4850</c:v>
                </c:pt>
                <c:pt idx="2600" formatCode="#,##0">
                  <c:v>4850</c:v>
                </c:pt>
                <c:pt idx="2601" formatCode="#,##0">
                  <c:v>4850</c:v>
                </c:pt>
                <c:pt idx="2602" formatCode="#,##0">
                  <c:v>4850</c:v>
                </c:pt>
                <c:pt idx="2603" formatCode="#,##0">
                  <c:v>4850</c:v>
                </c:pt>
                <c:pt idx="2604" formatCode="#,##0">
                  <c:v>4850</c:v>
                </c:pt>
                <c:pt idx="2605" formatCode="#,##0">
                  <c:v>4850</c:v>
                </c:pt>
                <c:pt idx="2606" formatCode="#,##0">
                  <c:v>4850</c:v>
                </c:pt>
                <c:pt idx="2607" formatCode="#,##0">
                  <c:v>4850</c:v>
                </c:pt>
                <c:pt idx="2608" formatCode="#,##0">
                  <c:v>4850</c:v>
                </c:pt>
                <c:pt idx="2609" formatCode="#,##0">
                  <c:v>4850</c:v>
                </c:pt>
                <c:pt idx="2610" formatCode="#,##0">
                  <c:v>4850</c:v>
                </c:pt>
                <c:pt idx="2611" formatCode="#,##0">
                  <c:v>4850</c:v>
                </c:pt>
                <c:pt idx="2612" formatCode="#,##0">
                  <c:v>4850</c:v>
                </c:pt>
                <c:pt idx="2613" formatCode="#,##0">
                  <c:v>4850</c:v>
                </c:pt>
                <c:pt idx="2614" formatCode="#,##0">
                  <c:v>4850</c:v>
                </c:pt>
                <c:pt idx="2615" formatCode="#,##0">
                  <c:v>4850</c:v>
                </c:pt>
                <c:pt idx="2616" formatCode="#,##0">
                  <c:v>4850</c:v>
                </c:pt>
                <c:pt idx="2617" formatCode="#,##0">
                  <c:v>4850</c:v>
                </c:pt>
                <c:pt idx="2618" formatCode="#,##0">
                  <c:v>4850</c:v>
                </c:pt>
                <c:pt idx="2619" formatCode="#,##0">
                  <c:v>4850</c:v>
                </c:pt>
                <c:pt idx="2620" formatCode="#,##0">
                  <c:v>4850</c:v>
                </c:pt>
                <c:pt idx="2621" formatCode="#,##0">
                  <c:v>4850</c:v>
                </c:pt>
                <c:pt idx="2622" formatCode="#,##0">
                  <c:v>4850</c:v>
                </c:pt>
                <c:pt idx="2623" formatCode="#,##0">
                  <c:v>4850</c:v>
                </c:pt>
                <c:pt idx="2624" formatCode="#,##0">
                  <c:v>4850</c:v>
                </c:pt>
                <c:pt idx="2625" formatCode="#,##0">
                  <c:v>4850</c:v>
                </c:pt>
                <c:pt idx="2626" formatCode="#,##0">
                  <c:v>4850</c:v>
                </c:pt>
                <c:pt idx="2627" formatCode="#,##0">
                  <c:v>4850</c:v>
                </c:pt>
                <c:pt idx="2628" formatCode="#,##0">
                  <c:v>4850</c:v>
                </c:pt>
                <c:pt idx="2629" formatCode="#,##0">
                  <c:v>4850</c:v>
                </c:pt>
                <c:pt idx="2630" formatCode="#,##0">
                  <c:v>4850</c:v>
                </c:pt>
                <c:pt idx="2631" formatCode="#,##0">
                  <c:v>4850</c:v>
                </c:pt>
                <c:pt idx="2632" formatCode="#,##0">
                  <c:v>4850</c:v>
                </c:pt>
                <c:pt idx="2633" formatCode="#,##0">
                  <c:v>4850</c:v>
                </c:pt>
                <c:pt idx="2634" formatCode="#,##0">
                  <c:v>4850</c:v>
                </c:pt>
                <c:pt idx="2635" formatCode="#,##0">
                  <c:v>4850</c:v>
                </c:pt>
                <c:pt idx="2636" formatCode="#,##0">
                  <c:v>4850</c:v>
                </c:pt>
                <c:pt idx="2637" formatCode="#,##0">
                  <c:v>4850</c:v>
                </c:pt>
                <c:pt idx="2638" formatCode="#,##0">
                  <c:v>4850</c:v>
                </c:pt>
                <c:pt idx="2639" formatCode="#,##0">
                  <c:v>4850</c:v>
                </c:pt>
                <c:pt idx="2640" formatCode="#,##0">
                  <c:v>4850</c:v>
                </c:pt>
                <c:pt idx="2641" formatCode="#,##0">
                  <c:v>4850</c:v>
                </c:pt>
                <c:pt idx="2642" formatCode="#,##0">
                  <c:v>4850</c:v>
                </c:pt>
                <c:pt idx="2643" formatCode="#,##0">
                  <c:v>4850</c:v>
                </c:pt>
                <c:pt idx="2644" formatCode="#,##0">
                  <c:v>4850</c:v>
                </c:pt>
                <c:pt idx="2645" formatCode="#,##0">
                  <c:v>4850</c:v>
                </c:pt>
                <c:pt idx="2646" formatCode="#,##0">
                  <c:v>4850</c:v>
                </c:pt>
                <c:pt idx="2647" formatCode="#,##0">
                  <c:v>4850</c:v>
                </c:pt>
                <c:pt idx="2648" formatCode="#,##0">
                  <c:v>4850</c:v>
                </c:pt>
                <c:pt idx="2649" formatCode="#,##0">
                  <c:v>4850</c:v>
                </c:pt>
                <c:pt idx="2650" formatCode="#,##0">
                  <c:v>4850</c:v>
                </c:pt>
                <c:pt idx="2651" formatCode="#,##0">
                  <c:v>4850</c:v>
                </c:pt>
                <c:pt idx="2652" formatCode="#,##0">
                  <c:v>4850</c:v>
                </c:pt>
                <c:pt idx="2653" formatCode="#,##0">
                  <c:v>4850</c:v>
                </c:pt>
                <c:pt idx="2654" formatCode="#,##0">
                  <c:v>4850</c:v>
                </c:pt>
                <c:pt idx="2655" formatCode="#,##0">
                  <c:v>4850</c:v>
                </c:pt>
                <c:pt idx="2656" formatCode="#,##0">
                  <c:v>4850</c:v>
                </c:pt>
                <c:pt idx="2657" formatCode="#,##0">
                  <c:v>4850</c:v>
                </c:pt>
                <c:pt idx="2658" formatCode="#,##0">
                  <c:v>4850</c:v>
                </c:pt>
                <c:pt idx="2659" formatCode="#,##0">
                  <c:v>4850</c:v>
                </c:pt>
                <c:pt idx="2660" formatCode="#,##0">
                  <c:v>4850</c:v>
                </c:pt>
                <c:pt idx="2661" formatCode="#,##0">
                  <c:v>4850</c:v>
                </c:pt>
                <c:pt idx="2662" formatCode="#,##0">
                  <c:v>4850</c:v>
                </c:pt>
                <c:pt idx="2663" formatCode="#,##0">
                  <c:v>4850</c:v>
                </c:pt>
                <c:pt idx="2664" formatCode="#,##0">
                  <c:v>4850</c:v>
                </c:pt>
                <c:pt idx="2665" formatCode="#,##0">
                  <c:v>4850</c:v>
                </c:pt>
                <c:pt idx="2666" formatCode="#,##0">
                  <c:v>4850</c:v>
                </c:pt>
                <c:pt idx="2667" formatCode="#,##0">
                  <c:v>4850</c:v>
                </c:pt>
                <c:pt idx="2668" formatCode="#,##0">
                  <c:v>4850</c:v>
                </c:pt>
                <c:pt idx="2669" formatCode="#,##0">
                  <c:v>4850</c:v>
                </c:pt>
                <c:pt idx="2670" formatCode="#,##0">
                  <c:v>4850</c:v>
                </c:pt>
                <c:pt idx="2671" formatCode="#,##0">
                  <c:v>4850</c:v>
                </c:pt>
                <c:pt idx="2672" formatCode="#,##0">
                  <c:v>4850</c:v>
                </c:pt>
                <c:pt idx="2673" formatCode="#,##0">
                  <c:v>4850</c:v>
                </c:pt>
                <c:pt idx="2674" formatCode="#,##0">
                  <c:v>4850</c:v>
                </c:pt>
                <c:pt idx="2675" formatCode="#,##0">
                  <c:v>4850</c:v>
                </c:pt>
                <c:pt idx="2676" formatCode="#,##0">
                  <c:v>4850</c:v>
                </c:pt>
                <c:pt idx="2677" formatCode="#,##0">
                  <c:v>4850</c:v>
                </c:pt>
                <c:pt idx="2678" formatCode="#,##0">
                  <c:v>4850</c:v>
                </c:pt>
                <c:pt idx="2679" formatCode="#,##0">
                  <c:v>4850</c:v>
                </c:pt>
                <c:pt idx="2680" formatCode="#,##0">
                  <c:v>4850</c:v>
                </c:pt>
                <c:pt idx="2681" formatCode="#,##0">
                  <c:v>4850</c:v>
                </c:pt>
                <c:pt idx="2682" formatCode="#,##0">
                  <c:v>4850</c:v>
                </c:pt>
                <c:pt idx="2683" formatCode="#,##0">
                  <c:v>4850</c:v>
                </c:pt>
                <c:pt idx="2684" formatCode="#,##0">
                  <c:v>4850</c:v>
                </c:pt>
                <c:pt idx="2685" formatCode="#,##0">
                  <c:v>4850</c:v>
                </c:pt>
                <c:pt idx="2686" formatCode="#,##0">
                  <c:v>4850</c:v>
                </c:pt>
                <c:pt idx="2687" formatCode="#,##0">
                  <c:v>4850</c:v>
                </c:pt>
                <c:pt idx="2688" formatCode="#,##0">
                  <c:v>4850</c:v>
                </c:pt>
                <c:pt idx="2689" formatCode="#,##0">
                  <c:v>4850</c:v>
                </c:pt>
                <c:pt idx="2690" formatCode="#,##0">
                  <c:v>4850</c:v>
                </c:pt>
                <c:pt idx="2691" formatCode="#,##0">
                  <c:v>4850</c:v>
                </c:pt>
                <c:pt idx="2692" formatCode="#,##0">
                  <c:v>4850</c:v>
                </c:pt>
                <c:pt idx="2693" formatCode="#,##0">
                  <c:v>4850</c:v>
                </c:pt>
                <c:pt idx="2694" formatCode="#,##0">
                  <c:v>4850</c:v>
                </c:pt>
                <c:pt idx="2695" formatCode="#,##0">
                  <c:v>4850</c:v>
                </c:pt>
                <c:pt idx="2696" formatCode="#,##0">
                  <c:v>4850</c:v>
                </c:pt>
                <c:pt idx="2697" formatCode="#,##0">
                  <c:v>4850</c:v>
                </c:pt>
                <c:pt idx="2698" formatCode="#,##0">
                  <c:v>4850</c:v>
                </c:pt>
                <c:pt idx="2699" formatCode="#,##0">
                  <c:v>4850</c:v>
                </c:pt>
                <c:pt idx="2700" formatCode="#,##0">
                  <c:v>4850</c:v>
                </c:pt>
                <c:pt idx="2701" formatCode="#,##0">
                  <c:v>4850</c:v>
                </c:pt>
                <c:pt idx="2702" formatCode="#,##0">
                  <c:v>4850</c:v>
                </c:pt>
                <c:pt idx="2703" formatCode="#,##0">
                  <c:v>4850</c:v>
                </c:pt>
                <c:pt idx="2704" formatCode="#,##0">
                  <c:v>4850</c:v>
                </c:pt>
                <c:pt idx="2705" formatCode="#,##0">
                  <c:v>4850</c:v>
                </c:pt>
                <c:pt idx="2706" formatCode="#,##0">
                  <c:v>4850</c:v>
                </c:pt>
                <c:pt idx="2707" formatCode="#,##0">
                  <c:v>4850</c:v>
                </c:pt>
                <c:pt idx="2708" formatCode="#,##0">
                  <c:v>4850</c:v>
                </c:pt>
                <c:pt idx="2709" formatCode="#,##0">
                  <c:v>4850</c:v>
                </c:pt>
                <c:pt idx="2710" formatCode="#,##0">
                  <c:v>4850</c:v>
                </c:pt>
                <c:pt idx="2711" formatCode="#,##0">
                  <c:v>4850</c:v>
                </c:pt>
                <c:pt idx="2712" formatCode="#,##0">
                  <c:v>4850</c:v>
                </c:pt>
                <c:pt idx="2713" formatCode="#,##0">
                  <c:v>4850</c:v>
                </c:pt>
                <c:pt idx="2714" formatCode="#,##0">
                  <c:v>4850</c:v>
                </c:pt>
                <c:pt idx="2715" formatCode="#,##0">
                  <c:v>4850</c:v>
                </c:pt>
                <c:pt idx="2716" formatCode="#,##0">
                  <c:v>4850</c:v>
                </c:pt>
                <c:pt idx="2717" formatCode="#,##0">
                  <c:v>4850</c:v>
                </c:pt>
                <c:pt idx="2718" formatCode="#,##0">
                  <c:v>4850</c:v>
                </c:pt>
                <c:pt idx="2719" formatCode="#,##0">
                  <c:v>4850</c:v>
                </c:pt>
                <c:pt idx="2720" formatCode="#,##0">
                  <c:v>4850</c:v>
                </c:pt>
                <c:pt idx="2721" formatCode="#,##0">
                  <c:v>4850</c:v>
                </c:pt>
                <c:pt idx="2722" formatCode="#,##0">
                  <c:v>4850</c:v>
                </c:pt>
                <c:pt idx="2723" formatCode="#,##0">
                  <c:v>4850</c:v>
                </c:pt>
                <c:pt idx="2724" formatCode="#,##0">
                  <c:v>5150</c:v>
                </c:pt>
                <c:pt idx="2725" formatCode="#,##0">
                  <c:v>5150</c:v>
                </c:pt>
                <c:pt idx="2726" formatCode="#,##0">
                  <c:v>5150</c:v>
                </c:pt>
                <c:pt idx="2727" formatCode="#,##0">
                  <c:v>5150</c:v>
                </c:pt>
                <c:pt idx="2728" formatCode="#,##0">
                  <c:v>5150</c:v>
                </c:pt>
                <c:pt idx="2729" formatCode="#,##0">
                  <c:v>5150</c:v>
                </c:pt>
                <c:pt idx="2730" formatCode="#,##0">
                  <c:v>5150</c:v>
                </c:pt>
                <c:pt idx="2731" formatCode="#,##0">
                  <c:v>5150</c:v>
                </c:pt>
                <c:pt idx="2732" formatCode="#,##0">
                  <c:v>5150</c:v>
                </c:pt>
                <c:pt idx="2733" formatCode="#,##0">
                  <c:v>5150</c:v>
                </c:pt>
                <c:pt idx="2734" formatCode="#,##0">
                  <c:v>5150</c:v>
                </c:pt>
                <c:pt idx="2735" formatCode="#,##0">
                  <c:v>5150</c:v>
                </c:pt>
                <c:pt idx="2736" formatCode="#,##0">
                  <c:v>5150</c:v>
                </c:pt>
                <c:pt idx="2737" formatCode="#,##0">
                  <c:v>5150</c:v>
                </c:pt>
                <c:pt idx="2738" formatCode="#,##0">
                  <c:v>5150</c:v>
                </c:pt>
                <c:pt idx="2739" formatCode="#,##0">
                  <c:v>5150</c:v>
                </c:pt>
                <c:pt idx="2740" formatCode="#,##0">
                  <c:v>5150</c:v>
                </c:pt>
                <c:pt idx="2741" formatCode="#,##0">
                  <c:v>5150</c:v>
                </c:pt>
                <c:pt idx="2742" formatCode="#,##0">
                  <c:v>5150</c:v>
                </c:pt>
                <c:pt idx="2743" formatCode="#,##0">
                  <c:v>5150</c:v>
                </c:pt>
                <c:pt idx="2744" formatCode="#,##0">
                  <c:v>5150</c:v>
                </c:pt>
                <c:pt idx="2745" formatCode="#,##0">
                  <c:v>5150</c:v>
                </c:pt>
                <c:pt idx="2746" formatCode="#,##0">
                  <c:v>5150</c:v>
                </c:pt>
                <c:pt idx="2747" formatCode="#,##0">
                  <c:v>5150</c:v>
                </c:pt>
                <c:pt idx="2748" formatCode="#,##0">
                  <c:v>5150</c:v>
                </c:pt>
                <c:pt idx="2749" formatCode="#,##0">
                  <c:v>5150</c:v>
                </c:pt>
                <c:pt idx="2750" formatCode="#,##0">
                  <c:v>5150</c:v>
                </c:pt>
                <c:pt idx="2751" formatCode="#,##0">
                  <c:v>5150</c:v>
                </c:pt>
                <c:pt idx="2752" formatCode="#,##0">
                  <c:v>5150</c:v>
                </c:pt>
                <c:pt idx="2753" formatCode="#,##0">
                  <c:v>5150</c:v>
                </c:pt>
                <c:pt idx="2754" formatCode="#,##0">
                  <c:v>5150</c:v>
                </c:pt>
                <c:pt idx="2755" formatCode="#,##0">
                  <c:v>5150</c:v>
                </c:pt>
                <c:pt idx="2756" formatCode="#,##0">
                  <c:v>5150</c:v>
                </c:pt>
                <c:pt idx="2757" formatCode="#,##0">
                  <c:v>5150</c:v>
                </c:pt>
                <c:pt idx="2758" formatCode="#,##0">
                  <c:v>5150</c:v>
                </c:pt>
                <c:pt idx="2759" formatCode="#,##0">
                  <c:v>5150</c:v>
                </c:pt>
                <c:pt idx="2760" formatCode="#,##0">
                  <c:v>5150</c:v>
                </c:pt>
                <c:pt idx="2761" formatCode="#,##0">
                  <c:v>5150</c:v>
                </c:pt>
                <c:pt idx="2762" formatCode="#,##0">
                  <c:v>5150</c:v>
                </c:pt>
                <c:pt idx="2763" formatCode="#,##0">
                  <c:v>5150</c:v>
                </c:pt>
                <c:pt idx="2764" formatCode="#,##0">
                  <c:v>5150</c:v>
                </c:pt>
                <c:pt idx="2765" formatCode="#,##0">
                  <c:v>5150</c:v>
                </c:pt>
                <c:pt idx="2766" formatCode="#,##0">
                  <c:v>5150</c:v>
                </c:pt>
                <c:pt idx="2767" formatCode="#,##0">
                  <c:v>5150</c:v>
                </c:pt>
                <c:pt idx="2768" formatCode="#,##0">
                  <c:v>5150</c:v>
                </c:pt>
                <c:pt idx="2769" formatCode="#,##0">
                  <c:v>5150</c:v>
                </c:pt>
                <c:pt idx="2770" formatCode="#,##0">
                  <c:v>5150</c:v>
                </c:pt>
                <c:pt idx="2771" formatCode="#,##0">
                  <c:v>5150</c:v>
                </c:pt>
                <c:pt idx="2772" formatCode="#,##0">
                  <c:v>5150</c:v>
                </c:pt>
                <c:pt idx="2773" formatCode="#,##0">
                  <c:v>5150</c:v>
                </c:pt>
                <c:pt idx="2774" formatCode="#,##0">
                  <c:v>5150</c:v>
                </c:pt>
                <c:pt idx="2775" formatCode="#,##0">
                  <c:v>5150</c:v>
                </c:pt>
                <c:pt idx="2776" formatCode="#,##0">
                  <c:v>5150</c:v>
                </c:pt>
                <c:pt idx="2777" formatCode="#,##0">
                  <c:v>5150</c:v>
                </c:pt>
                <c:pt idx="2778" formatCode="#,##0">
                  <c:v>5150</c:v>
                </c:pt>
                <c:pt idx="2779" formatCode="#,##0">
                  <c:v>5150</c:v>
                </c:pt>
                <c:pt idx="2780" formatCode="#,##0">
                  <c:v>5150</c:v>
                </c:pt>
                <c:pt idx="2781" formatCode="#,##0">
                  <c:v>5150</c:v>
                </c:pt>
                <c:pt idx="2782" formatCode="#,##0">
                  <c:v>5150</c:v>
                </c:pt>
                <c:pt idx="2783" formatCode="#,##0">
                  <c:v>5150</c:v>
                </c:pt>
                <c:pt idx="2784" formatCode="#,##0">
                  <c:v>5150</c:v>
                </c:pt>
                <c:pt idx="2785" formatCode="#,##0">
                  <c:v>5150</c:v>
                </c:pt>
                <c:pt idx="2786" formatCode="#,##0">
                  <c:v>5150</c:v>
                </c:pt>
                <c:pt idx="2787" formatCode="#,##0">
                  <c:v>5150</c:v>
                </c:pt>
                <c:pt idx="2788" formatCode="#,##0">
                  <c:v>5150</c:v>
                </c:pt>
                <c:pt idx="2789" formatCode="#,##0">
                  <c:v>5150</c:v>
                </c:pt>
                <c:pt idx="2790" formatCode="#,##0">
                  <c:v>5150</c:v>
                </c:pt>
                <c:pt idx="2791" formatCode="#,##0">
                  <c:v>5150</c:v>
                </c:pt>
                <c:pt idx="2792" formatCode="#,##0">
                  <c:v>5150</c:v>
                </c:pt>
                <c:pt idx="2793" formatCode="#,##0">
                  <c:v>5150</c:v>
                </c:pt>
                <c:pt idx="2794" formatCode="#,##0">
                  <c:v>5150</c:v>
                </c:pt>
                <c:pt idx="2795" formatCode="#,##0">
                  <c:v>5150</c:v>
                </c:pt>
                <c:pt idx="2796" formatCode="#,##0">
                  <c:v>5150</c:v>
                </c:pt>
                <c:pt idx="2797" formatCode="#,##0">
                  <c:v>5150</c:v>
                </c:pt>
                <c:pt idx="2798" formatCode="#,##0">
                  <c:v>5150</c:v>
                </c:pt>
                <c:pt idx="2799" formatCode="#,##0">
                  <c:v>5150</c:v>
                </c:pt>
                <c:pt idx="2800" formatCode="#,##0">
                  <c:v>5150</c:v>
                </c:pt>
                <c:pt idx="2801" formatCode="#,##0">
                  <c:v>5150</c:v>
                </c:pt>
                <c:pt idx="2802" formatCode="#,##0">
                  <c:v>5150</c:v>
                </c:pt>
                <c:pt idx="2803" formatCode="#,##0">
                  <c:v>5150</c:v>
                </c:pt>
                <c:pt idx="2804" formatCode="#,##0">
                  <c:v>5150</c:v>
                </c:pt>
                <c:pt idx="2805" formatCode="#,##0">
                  <c:v>5150</c:v>
                </c:pt>
                <c:pt idx="2806" formatCode="#,##0">
                  <c:v>5150</c:v>
                </c:pt>
                <c:pt idx="2807" formatCode="#,##0">
                  <c:v>5150</c:v>
                </c:pt>
                <c:pt idx="2808" formatCode="#,##0">
                  <c:v>5150</c:v>
                </c:pt>
                <c:pt idx="2809" formatCode="#,##0">
                  <c:v>5150</c:v>
                </c:pt>
                <c:pt idx="2810" formatCode="#,##0">
                  <c:v>5150</c:v>
                </c:pt>
                <c:pt idx="2811" formatCode="#,##0">
                  <c:v>5150</c:v>
                </c:pt>
                <c:pt idx="2812" formatCode="#,##0">
                  <c:v>5150</c:v>
                </c:pt>
                <c:pt idx="2813" formatCode="#,##0">
                  <c:v>5150</c:v>
                </c:pt>
                <c:pt idx="2814" formatCode="#,##0">
                  <c:v>5150</c:v>
                </c:pt>
                <c:pt idx="2815" formatCode="#,##0">
                  <c:v>5150</c:v>
                </c:pt>
                <c:pt idx="2816" formatCode="#,##0">
                  <c:v>5150</c:v>
                </c:pt>
                <c:pt idx="2817" formatCode="#,##0">
                  <c:v>5150</c:v>
                </c:pt>
                <c:pt idx="2818" formatCode="#,##0">
                  <c:v>5150</c:v>
                </c:pt>
                <c:pt idx="2819" formatCode="#,##0">
                  <c:v>5150</c:v>
                </c:pt>
                <c:pt idx="2820" formatCode="#,##0">
                  <c:v>5150</c:v>
                </c:pt>
                <c:pt idx="2821" formatCode="#,##0">
                  <c:v>5150</c:v>
                </c:pt>
                <c:pt idx="2822" formatCode="#,##0">
                  <c:v>5150</c:v>
                </c:pt>
                <c:pt idx="2823" formatCode="#,##0">
                  <c:v>5150</c:v>
                </c:pt>
                <c:pt idx="2824" formatCode="#,##0">
                  <c:v>5150</c:v>
                </c:pt>
                <c:pt idx="2825" formatCode="#,##0">
                  <c:v>5150</c:v>
                </c:pt>
                <c:pt idx="2826" formatCode="#,##0">
                  <c:v>5150</c:v>
                </c:pt>
                <c:pt idx="2827" formatCode="#,##0">
                  <c:v>5150</c:v>
                </c:pt>
                <c:pt idx="2828" formatCode="#,##0">
                  <c:v>5150</c:v>
                </c:pt>
                <c:pt idx="2829" formatCode="#,##0">
                  <c:v>5150</c:v>
                </c:pt>
                <c:pt idx="2830" formatCode="#,##0">
                  <c:v>5150</c:v>
                </c:pt>
                <c:pt idx="2831" formatCode="#,##0">
                  <c:v>5150</c:v>
                </c:pt>
                <c:pt idx="2832" formatCode="#,##0">
                  <c:v>5150</c:v>
                </c:pt>
                <c:pt idx="2833" formatCode="#,##0">
                  <c:v>5150</c:v>
                </c:pt>
                <c:pt idx="2834" formatCode="#,##0">
                  <c:v>5150</c:v>
                </c:pt>
                <c:pt idx="2835" formatCode="#,##0">
                  <c:v>5150</c:v>
                </c:pt>
                <c:pt idx="2836" formatCode="#,##0">
                  <c:v>5150</c:v>
                </c:pt>
                <c:pt idx="2837" formatCode="#,##0">
                  <c:v>5150</c:v>
                </c:pt>
                <c:pt idx="2838" formatCode="#,##0">
                  <c:v>5150</c:v>
                </c:pt>
                <c:pt idx="2839" formatCode="#,##0">
                  <c:v>5150</c:v>
                </c:pt>
                <c:pt idx="2840" formatCode="#,##0">
                  <c:v>5150</c:v>
                </c:pt>
                <c:pt idx="2841" formatCode="#,##0">
                  <c:v>5150</c:v>
                </c:pt>
                <c:pt idx="2842" formatCode="#,##0">
                  <c:v>5150</c:v>
                </c:pt>
                <c:pt idx="2843" formatCode="#,##0">
                  <c:v>5150</c:v>
                </c:pt>
                <c:pt idx="2844" formatCode="#,##0">
                  <c:v>5150</c:v>
                </c:pt>
                <c:pt idx="2845" formatCode="#,##0">
                  <c:v>5150</c:v>
                </c:pt>
                <c:pt idx="2846" formatCode="#,##0">
                  <c:v>5150</c:v>
                </c:pt>
                <c:pt idx="2847" formatCode="#,##0">
                  <c:v>5150</c:v>
                </c:pt>
                <c:pt idx="2848" formatCode="#,##0">
                  <c:v>5150</c:v>
                </c:pt>
                <c:pt idx="2849" formatCode="#,##0">
                  <c:v>5150</c:v>
                </c:pt>
                <c:pt idx="2850" formatCode="#,##0">
                  <c:v>5150</c:v>
                </c:pt>
                <c:pt idx="2851" formatCode="#,##0">
                  <c:v>5150</c:v>
                </c:pt>
                <c:pt idx="2852" formatCode="#,##0">
                  <c:v>5150</c:v>
                </c:pt>
                <c:pt idx="2853" formatCode="#,##0">
                  <c:v>5150</c:v>
                </c:pt>
                <c:pt idx="2854" formatCode="#,##0">
                  <c:v>5150</c:v>
                </c:pt>
                <c:pt idx="2855" formatCode="#,##0">
                  <c:v>5150</c:v>
                </c:pt>
                <c:pt idx="2856" formatCode="#,##0">
                  <c:v>5150</c:v>
                </c:pt>
                <c:pt idx="2857" formatCode="#,##0">
                  <c:v>5150</c:v>
                </c:pt>
                <c:pt idx="2858" formatCode="#,##0">
                  <c:v>5150</c:v>
                </c:pt>
                <c:pt idx="2859" formatCode="#,##0">
                  <c:v>5150</c:v>
                </c:pt>
                <c:pt idx="2860" formatCode="#,##0">
                  <c:v>5150</c:v>
                </c:pt>
                <c:pt idx="2861" formatCode="#,##0">
                  <c:v>5150</c:v>
                </c:pt>
                <c:pt idx="2862" formatCode="#,##0">
                  <c:v>5150</c:v>
                </c:pt>
                <c:pt idx="2863" formatCode="#,##0">
                  <c:v>5150</c:v>
                </c:pt>
                <c:pt idx="2864" formatCode="#,##0">
                  <c:v>5150</c:v>
                </c:pt>
                <c:pt idx="2865" formatCode="#,##0">
                  <c:v>5150</c:v>
                </c:pt>
                <c:pt idx="2866" formatCode="#,##0">
                  <c:v>5150</c:v>
                </c:pt>
                <c:pt idx="2867" formatCode="#,##0">
                  <c:v>5150</c:v>
                </c:pt>
                <c:pt idx="2868" formatCode="#,##0">
                  <c:v>5150</c:v>
                </c:pt>
                <c:pt idx="2869" formatCode="#,##0">
                  <c:v>5150</c:v>
                </c:pt>
                <c:pt idx="2870" formatCode="#,##0">
                  <c:v>5150</c:v>
                </c:pt>
                <c:pt idx="2871" formatCode="#,##0">
                  <c:v>5150</c:v>
                </c:pt>
                <c:pt idx="2872" formatCode="#,##0">
                  <c:v>5150</c:v>
                </c:pt>
                <c:pt idx="2873" formatCode="#,##0">
                  <c:v>5150</c:v>
                </c:pt>
                <c:pt idx="2874" formatCode="#,##0">
                  <c:v>5150</c:v>
                </c:pt>
                <c:pt idx="2875" formatCode="#,##0">
                  <c:v>5150</c:v>
                </c:pt>
                <c:pt idx="2876" formatCode="#,##0">
                  <c:v>5150</c:v>
                </c:pt>
                <c:pt idx="2877" formatCode="#,##0">
                  <c:v>5150</c:v>
                </c:pt>
                <c:pt idx="2878" formatCode="#,##0">
                  <c:v>5150</c:v>
                </c:pt>
                <c:pt idx="2879" formatCode="#,##0">
                  <c:v>5150</c:v>
                </c:pt>
                <c:pt idx="2880" formatCode="#,##0">
                  <c:v>5150</c:v>
                </c:pt>
                <c:pt idx="2881" formatCode="#,##0">
                  <c:v>5150</c:v>
                </c:pt>
                <c:pt idx="2882" formatCode="#,##0">
                  <c:v>5150</c:v>
                </c:pt>
                <c:pt idx="2883" formatCode="#,##0">
                  <c:v>5150</c:v>
                </c:pt>
                <c:pt idx="2884" formatCode="#,##0">
                  <c:v>5150</c:v>
                </c:pt>
                <c:pt idx="2885" formatCode="#,##0">
                  <c:v>5150</c:v>
                </c:pt>
                <c:pt idx="2886" formatCode="#,##0">
                  <c:v>5150</c:v>
                </c:pt>
                <c:pt idx="2887" formatCode="#,##0">
                  <c:v>5150</c:v>
                </c:pt>
                <c:pt idx="2888" formatCode="#,##0">
                  <c:v>5150</c:v>
                </c:pt>
                <c:pt idx="2889" formatCode="#,##0">
                  <c:v>5450</c:v>
                </c:pt>
                <c:pt idx="2890" formatCode="#,##0">
                  <c:v>5450</c:v>
                </c:pt>
                <c:pt idx="2891" formatCode="#,##0">
                  <c:v>5450</c:v>
                </c:pt>
                <c:pt idx="2892" formatCode="#,##0">
                  <c:v>5450</c:v>
                </c:pt>
                <c:pt idx="2893" formatCode="#,##0">
                  <c:v>5450</c:v>
                </c:pt>
                <c:pt idx="2894" formatCode="#,##0">
                  <c:v>5450</c:v>
                </c:pt>
                <c:pt idx="2895" formatCode="#,##0">
                  <c:v>5450</c:v>
                </c:pt>
                <c:pt idx="2896" formatCode="#,##0">
                  <c:v>5450</c:v>
                </c:pt>
                <c:pt idx="2897" formatCode="#,##0">
                  <c:v>5450</c:v>
                </c:pt>
                <c:pt idx="2898" formatCode="#,##0">
                  <c:v>5450</c:v>
                </c:pt>
                <c:pt idx="2899" formatCode="#,##0">
                  <c:v>5450</c:v>
                </c:pt>
                <c:pt idx="2900" formatCode="#,##0">
                  <c:v>5450</c:v>
                </c:pt>
                <c:pt idx="2901" formatCode="#,##0">
                  <c:v>5450</c:v>
                </c:pt>
                <c:pt idx="2902" formatCode="#,##0">
                  <c:v>5450</c:v>
                </c:pt>
                <c:pt idx="2903" formatCode="#,##0">
                  <c:v>5450</c:v>
                </c:pt>
                <c:pt idx="2904" formatCode="#,##0">
                  <c:v>5450</c:v>
                </c:pt>
                <c:pt idx="2905" formatCode="#,##0">
                  <c:v>5450</c:v>
                </c:pt>
                <c:pt idx="2906" formatCode="#,##0">
                  <c:v>5450</c:v>
                </c:pt>
                <c:pt idx="2907" formatCode="#,##0">
                  <c:v>5450</c:v>
                </c:pt>
                <c:pt idx="2908" formatCode="#,##0">
                  <c:v>5450</c:v>
                </c:pt>
                <c:pt idx="2909" formatCode="#,##0">
                  <c:v>5450</c:v>
                </c:pt>
                <c:pt idx="2910" formatCode="#,##0">
                  <c:v>5450</c:v>
                </c:pt>
                <c:pt idx="2911" formatCode="#,##0">
                  <c:v>5450</c:v>
                </c:pt>
                <c:pt idx="2912" formatCode="#,##0">
                  <c:v>5450</c:v>
                </c:pt>
                <c:pt idx="2913" formatCode="#,##0">
                  <c:v>5450</c:v>
                </c:pt>
                <c:pt idx="2914" formatCode="#,##0">
                  <c:v>5450</c:v>
                </c:pt>
                <c:pt idx="2915" formatCode="#,##0">
                  <c:v>5450</c:v>
                </c:pt>
                <c:pt idx="2916" formatCode="#,##0">
                  <c:v>5450</c:v>
                </c:pt>
                <c:pt idx="2917" formatCode="#,##0">
                  <c:v>5450</c:v>
                </c:pt>
                <c:pt idx="2918" formatCode="#,##0">
                  <c:v>5450</c:v>
                </c:pt>
                <c:pt idx="2919" formatCode="#,##0">
                  <c:v>5450</c:v>
                </c:pt>
                <c:pt idx="2920" formatCode="#,##0">
                  <c:v>5450</c:v>
                </c:pt>
                <c:pt idx="2921" formatCode="#,##0">
                  <c:v>5450</c:v>
                </c:pt>
                <c:pt idx="2922" formatCode="#,##0">
                  <c:v>5450</c:v>
                </c:pt>
                <c:pt idx="2923" formatCode="#,##0">
                  <c:v>5450</c:v>
                </c:pt>
                <c:pt idx="2924" formatCode="#,##0">
                  <c:v>5450</c:v>
                </c:pt>
                <c:pt idx="2925" formatCode="#,##0">
                  <c:v>5450</c:v>
                </c:pt>
                <c:pt idx="2926" formatCode="#,##0">
                  <c:v>5450</c:v>
                </c:pt>
                <c:pt idx="2927" formatCode="#,##0">
                  <c:v>5450</c:v>
                </c:pt>
                <c:pt idx="2928" formatCode="#,##0">
                  <c:v>5450</c:v>
                </c:pt>
                <c:pt idx="2929" formatCode="#,##0">
                  <c:v>5450</c:v>
                </c:pt>
                <c:pt idx="2930" formatCode="#,##0">
                  <c:v>5450</c:v>
                </c:pt>
                <c:pt idx="2931" formatCode="#,##0">
                  <c:v>5450</c:v>
                </c:pt>
                <c:pt idx="2932" formatCode="#,##0">
                  <c:v>5450</c:v>
                </c:pt>
                <c:pt idx="2933" formatCode="#,##0">
                  <c:v>5450</c:v>
                </c:pt>
                <c:pt idx="2934" formatCode="#,##0">
                  <c:v>5450</c:v>
                </c:pt>
                <c:pt idx="2935" formatCode="#,##0">
                  <c:v>5450</c:v>
                </c:pt>
                <c:pt idx="2936" formatCode="#,##0">
                  <c:v>5450</c:v>
                </c:pt>
                <c:pt idx="2937" formatCode="#,##0">
                  <c:v>5450</c:v>
                </c:pt>
                <c:pt idx="2938" formatCode="#,##0">
                  <c:v>5450</c:v>
                </c:pt>
                <c:pt idx="2939" formatCode="#,##0">
                  <c:v>5450</c:v>
                </c:pt>
                <c:pt idx="2940" formatCode="#,##0">
                  <c:v>5450</c:v>
                </c:pt>
                <c:pt idx="2941" formatCode="#,##0">
                  <c:v>5450</c:v>
                </c:pt>
                <c:pt idx="2942" formatCode="#,##0">
                  <c:v>5450</c:v>
                </c:pt>
                <c:pt idx="2943" formatCode="#,##0">
                  <c:v>5450</c:v>
                </c:pt>
                <c:pt idx="2944" formatCode="#,##0">
                  <c:v>5450</c:v>
                </c:pt>
                <c:pt idx="2945" formatCode="#,##0">
                  <c:v>5450</c:v>
                </c:pt>
                <c:pt idx="2946" formatCode="#,##0">
                  <c:v>5450</c:v>
                </c:pt>
                <c:pt idx="2947" formatCode="#,##0">
                  <c:v>5450</c:v>
                </c:pt>
                <c:pt idx="2948" formatCode="#,##0">
                  <c:v>5450</c:v>
                </c:pt>
                <c:pt idx="2949" formatCode="#,##0">
                  <c:v>5450</c:v>
                </c:pt>
                <c:pt idx="2950" formatCode="#,##0">
                  <c:v>5450</c:v>
                </c:pt>
                <c:pt idx="2951" formatCode="#,##0">
                  <c:v>5450</c:v>
                </c:pt>
                <c:pt idx="2952" formatCode="#,##0">
                  <c:v>5450</c:v>
                </c:pt>
                <c:pt idx="2953" formatCode="#,##0">
                  <c:v>5450</c:v>
                </c:pt>
                <c:pt idx="2954" formatCode="#,##0">
                  <c:v>5450</c:v>
                </c:pt>
                <c:pt idx="2955" formatCode="#,##0">
                  <c:v>5750</c:v>
                </c:pt>
                <c:pt idx="2956" formatCode="#,##0">
                  <c:v>5750</c:v>
                </c:pt>
                <c:pt idx="2957" formatCode="#,##0">
                  <c:v>5750</c:v>
                </c:pt>
                <c:pt idx="2958" formatCode="#,##0">
                  <c:v>5750</c:v>
                </c:pt>
                <c:pt idx="2959" formatCode="#,##0">
                  <c:v>5750</c:v>
                </c:pt>
                <c:pt idx="2960" formatCode="#,##0">
                  <c:v>5750</c:v>
                </c:pt>
                <c:pt idx="2961" formatCode="#,##0">
                  <c:v>5750</c:v>
                </c:pt>
                <c:pt idx="2962" formatCode="#,##0">
                  <c:v>5750</c:v>
                </c:pt>
                <c:pt idx="2963" formatCode="#,##0">
                  <c:v>5750</c:v>
                </c:pt>
                <c:pt idx="2964" formatCode="#,##0">
                  <c:v>5750</c:v>
                </c:pt>
                <c:pt idx="2965" formatCode="#,##0">
                  <c:v>5750</c:v>
                </c:pt>
                <c:pt idx="2966" formatCode="#,##0">
                  <c:v>5750</c:v>
                </c:pt>
                <c:pt idx="2967" formatCode="#,##0">
                  <c:v>5750</c:v>
                </c:pt>
                <c:pt idx="2968" formatCode="#,##0">
                  <c:v>5750</c:v>
                </c:pt>
                <c:pt idx="2969" formatCode="#,##0">
                  <c:v>5750</c:v>
                </c:pt>
                <c:pt idx="2970" formatCode="#,##0">
                  <c:v>5750</c:v>
                </c:pt>
                <c:pt idx="2971" formatCode="#,##0">
                  <c:v>5750</c:v>
                </c:pt>
                <c:pt idx="2972" formatCode="#,##0">
                  <c:v>5750</c:v>
                </c:pt>
                <c:pt idx="2973" formatCode="#,##0">
                  <c:v>5750</c:v>
                </c:pt>
                <c:pt idx="2974" formatCode="#,##0">
                  <c:v>5750</c:v>
                </c:pt>
                <c:pt idx="2975" formatCode="#,##0">
                  <c:v>5750</c:v>
                </c:pt>
                <c:pt idx="2976" formatCode="#,##0">
                  <c:v>5750</c:v>
                </c:pt>
                <c:pt idx="2977" formatCode="#,##0">
                  <c:v>5750</c:v>
                </c:pt>
                <c:pt idx="2978" formatCode="#,##0">
                  <c:v>5750</c:v>
                </c:pt>
                <c:pt idx="2979" formatCode="#,##0">
                  <c:v>5750</c:v>
                </c:pt>
                <c:pt idx="2980" formatCode="#,##0">
                  <c:v>5750</c:v>
                </c:pt>
                <c:pt idx="2981" formatCode="#,##0">
                  <c:v>5750</c:v>
                </c:pt>
                <c:pt idx="2982" formatCode="#,##0">
                  <c:v>5750</c:v>
                </c:pt>
                <c:pt idx="2983" formatCode="#,##0">
                  <c:v>5750</c:v>
                </c:pt>
                <c:pt idx="2984" formatCode="#,##0">
                  <c:v>5750</c:v>
                </c:pt>
                <c:pt idx="2985" formatCode="#,##0">
                  <c:v>5750</c:v>
                </c:pt>
                <c:pt idx="2986" formatCode="#,##0">
                  <c:v>5750</c:v>
                </c:pt>
                <c:pt idx="2987" formatCode="#,##0">
                  <c:v>5750</c:v>
                </c:pt>
                <c:pt idx="2988" formatCode="#,##0">
                  <c:v>5750</c:v>
                </c:pt>
                <c:pt idx="2989" formatCode="#,##0">
                  <c:v>5750</c:v>
                </c:pt>
                <c:pt idx="2990" formatCode="#,##0">
                  <c:v>5750</c:v>
                </c:pt>
                <c:pt idx="2991" formatCode="#,##0">
                  <c:v>5750</c:v>
                </c:pt>
                <c:pt idx="2992" formatCode="#,##0">
                  <c:v>5750</c:v>
                </c:pt>
                <c:pt idx="2993" formatCode="#,##0">
                  <c:v>5750</c:v>
                </c:pt>
                <c:pt idx="2994" formatCode="#,##0">
                  <c:v>5750</c:v>
                </c:pt>
                <c:pt idx="2995" formatCode="#,##0">
                  <c:v>5750</c:v>
                </c:pt>
                <c:pt idx="2996" formatCode="#,##0">
                  <c:v>5750</c:v>
                </c:pt>
                <c:pt idx="2997" formatCode="#,##0">
                  <c:v>5750</c:v>
                </c:pt>
                <c:pt idx="2998" formatCode="#,##0">
                  <c:v>5750</c:v>
                </c:pt>
                <c:pt idx="2999" formatCode="#,##0">
                  <c:v>5750</c:v>
                </c:pt>
                <c:pt idx="3000" formatCode="#,##0">
                  <c:v>5750</c:v>
                </c:pt>
                <c:pt idx="3001" formatCode="#,##0">
                  <c:v>5750</c:v>
                </c:pt>
                <c:pt idx="3002" formatCode="#,##0">
                  <c:v>5750</c:v>
                </c:pt>
                <c:pt idx="3003" formatCode="#,##0">
                  <c:v>5750</c:v>
                </c:pt>
                <c:pt idx="3004" formatCode="#,##0">
                  <c:v>5750</c:v>
                </c:pt>
                <c:pt idx="3005" formatCode="#,##0">
                  <c:v>5750</c:v>
                </c:pt>
                <c:pt idx="3006" formatCode="#,##0">
                  <c:v>5750</c:v>
                </c:pt>
                <c:pt idx="3007" formatCode="#,##0">
                  <c:v>5750</c:v>
                </c:pt>
                <c:pt idx="3008" formatCode="#,##0">
                  <c:v>5750</c:v>
                </c:pt>
                <c:pt idx="3009" formatCode="#,##0">
                  <c:v>5750</c:v>
                </c:pt>
                <c:pt idx="3010" formatCode="#,##0">
                  <c:v>5750</c:v>
                </c:pt>
                <c:pt idx="3011" formatCode="#,##0">
                  <c:v>5750</c:v>
                </c:pt>
                <c:pt idx="3012" formatCode="#,##0">
                  <c:v>5750</c:v>
                </c:pt>
                <c:pt idx="3013" formatCode="#,##0">
                  <c:v>5750</c:v>
                </c:pt>
                <c:pt idx="3014" formatCode="#,##0">
                  <c:v>5750</c:v>
                </c:pt>
                <c:pt idx="3015" formatCode="#,##0">
                  <c:v>5750</c:v>
                </c:pt>
                <c:pt idx="3016" formatCode="#,##0">
                  <c:v>5750</c:v>
                </c:pt>
                <c:pt idx="3017" formatCode="#,##0">
                  <c:v>5750</c:v>
                </c:pt>
                <c:pt idx="3018" formatCode="#,##0">
                  <c:v>5750</c:v>
                </c:pt>
                <c:pt idx="3019" formatCode="#,##0">
                  <c:v>5750</c:v>
                </c:pt>
                <c:pt idx="3020" formatCode="#,##0">
                  <c:v>5750</c:v>
                </c:pt>
                <c:pt idx="3021" formatCode="#,##0">
                  <c:v>5750</c:v>
                </c:pt>
                <c:pt idx="3022" formatCode="#,##0">
                  <c:v>6050</c:v>
                </c:pt>
                <c:pt idx="3023" formatCode="#,##0">
                  <c:v>6050</c:v>
                </c:pt>
                <c:pt idx="3024" formatCode="#,##0">
                  <c:v>6050</c:v>
                </c:pt>
                <c:pt idx="3025" formatCode="#,##0">
                  <c:v>6050</c:v>
                </c:pt>
                <c:pt idx="3026" formatCode="#,##0">
                  <c:v>6050</c:v>
                </c:pt>
                <c:pt idx="3027" formatCode="#,##0">
                  <c:v>6050</c:v>
                </c:pt>
                <c:pt idx="3028" formatCode="#,##0">
                  <c:v>6050</c:v>
                </c:pt>
                <c:pt idx="3029" formatCode="#,##0">
                  <c:v>6050</c:v>
                </c:pt>
                <c:pt idx="3030" formatCode="#,##0">
                  <c:v>6050</c:v>
                </c:pt>
                <c:pt idx="3031" formatCode="#,##0">
                  <c:v>6050</c:v>
                </c:pt>
                <c:pt idx="3032" formatCode="#,##0">
                  <c:v>6050</c:v>
                </c:pt>
                <c:pt idx="3033" formatCode="#,##0">
                  <c:v>6050</c:v>
                </c:pt>
                <c:pt idx="3034" formatCode="#,##0">
                  <c:v>6050</c:v>
                </c:pt>
                <c:pt idx="3035" formatCode="#,##0">
                  <c:v>6050</c:v>
                </c:pt>
                <c:pt idx="3036" formatCode="#,##0">
                  <c:v>6050</c:v>
                </c:pt>
                <c:pt idx="3037" formatCode="#,##0">
                  <c:v>6050</c:v>
                </c:pt>
                <c:pt idx="3038" formatCode="#,##0">
                  <c:v>6050</c:v>
                </c:pt>
                <c:pt idx="3039" formatCode="#,##0">
                  <c:v>6050</c:v>
                </c:pt>
                <c:pt idx="3040" formatCode="#,##0">
                  <c:v>6050</c:v>
                </c:pt>
                <c:pt idx="3041" formatCode="#,##0">
                  <c:v>6050</c:v>
                </c:pt>
                <c:pt idx="3042" formatCode="#,##0">
                  <c:v>6050</c:v>
                </c:pt>
                <c:pt idx="3043" formatCode="#,##0">
                  <c:v>6050</c:v>
                </c:pt>
                <c:pt idx="3044" formatCode="#,##0">
                  <c:v>6050</c:v>
                </c:pt>
                <c:pt idx="3045" formatCode="#,##0">
                  <c:v>6050</c:v>
                </c:pt>
                <c:pt idx="3046" formatCode="#,##0">
                  <c:v>6050</c:v>
                </c:pt>
                <c:pt idx="3047" formatCode="#,##0">
                  <c:v>6050</c:v>
                </c:pt>
                <c:pt idx="3048" formatCode="#,##0">
                  <c:v>6050</c:v>
                </c:pt>
                <c:pt idx="3049" formatCode="#,##0">
                  <c:v>6050</c:v>
                </c:pt>
                <c:pt idx="3050" formatCode="#,##0">
                  <c:v>6050</c:v>
                </c:pt>
                <c:pt idx="3051" formatCode="#,##0">
                  <c:v>6050</c:v>
                </c:pt>
                <c:pt idx="3052" formatCode="#,##0">
                  <c:v>6050</c:v>
                </c:pt>
                <c:pt idx="3053" formatCode="#,##0">
                  <c:v>6050</c:v>
                </c:pt>
                <c:pt idx="3054" formatCode="#,##0">
                  <c:v>6050</c:v>
                </c:pt>
                <c:pt idx="3055" formatCode="#,##0">
                  <c:v>6050</c:v>
                </c:pt>
                <c:pt idx="3056" formatCode="#,##0">
                  <c:v>6050</c:v>
                </c:pt>
                <c:pt idx="3057" formatCode="#,##0">
                  <c:v>6050</c:v>
                </c:pt>
                <c:pt idx="3058" formatCode="#,##0">
                  <c:v>6050</c:v>
                </c:pt>
                <c:pt idx="3059" formatCode="#,##0">
                  <c:v>6050</c:v>
                </c:pt>
                <c:pt idx="3060" formatCode="#,##0">
                  <c:v>6050</c:v>
                </c:pt>
                <c:pt idx="3061" formatCode="#,##0">
                  <c:v>6050</c:v>
                </c:pt>
                <c:pt idx="3062" formatCode="#,##0">
                  <c:v>6050</c:v>
                </c:pt>
                <c:pt idx="3063" formatCode="#,##0">
                  <c:v>6050</c:v>
                </c:pt>
                <c:pt idx="3064" formatCode="#,##0">
                  <c:v>6050</c:v>
                </c:pt>
                <c:pt idx="3065" formatCode="#,##0">
                  <c:v>6050</c:v>
                </c:pt>
                <c:pt idx="3066" formatCode="#,##0">
                  <c:v>6050</c:v>
                </c:pt>
                <c:pt idx="3067" formatCode="#,##0">
                  <c:v>6050</c:v>
                </c:pt>
                <c:pt idx="3068" formatCode="#,##0">
                  <c:v>6050</c:v>
                </c:pt>
                <c:pt idx="3069" formatCode="#,##0">
                  <c:v>6050</c:v>
                </c:pt>
                <c:pt idx="3070" formatCode="#,##0">
                  <c:v>6050</c:v>
                </c:pt>
                <c:pt idx="3071" formatCode="#,##0">
                  <c:v>6050</c:v>
                </c:pt>
                <c:pt idx="3072" formatCode="#,##0">
                  <c:v>6050</c:v>
                </c:pt>
                <c:pt idx="3073" formatCode="#,##0">
                  <c:v>6050</c:v>
                </c:pt>
                <c:pt idx="3074" formatCode="#,##0">
                  <c:v>6050</c:v>
                </c:pt>
                <c:pt idx="3075" formatCode="#,##0">
                  <c:v>6050</c:v>
                </c:pt>
                <c:pt idx="3076" formatCode="#,##0">
                  <c:v>6050</c:v>
                </c:pt>
                <c:pt idx="3077" formatCode="#,##0">
                  <c:v>6050</c:v>
                </c:pt>
                <c:pt idx="3078" formatCode="#,##0">
                  <c:v>6050</c:v>
                </c:pt>
                <c:pt idx="3079" formatCode="#,##0">
                  <c:v>6050</c:v>
                </c:pt>
                <c:pt idx="3080" formatCode="#,##0">
                  <c:v>6050</c:v>
                </c:pt>
                <c:pt idx="3081" formatCode="#,##0">
                  <c:v>6050</c:v>
                </c:pt>
                <c:pt idx="3082" formatCode="#,##0">
                  <c:v>6050</c:v>
                </c:pt>
                <c:pt idx="3083" formatCode="#,##0">
                  <c:v>6050</c:v>
                </c:pt>
                <c:pt idx="3084" formatCode="#,##0">
                  <c:v>6050</c:v>
                </c:pt>
                <c:pt idx="3085" formatCode="#,##0">
                  <c:v>6050</c:v>
                </c:pt>
                <c:pt idx="3086" formatCode="#,##0">
                  <c:v>6350</c:v>
                </c:pt>
                <c:pt idx="3087" formatCode="#,##0">
                  <c:v>6350</c:v>
                </c:pt>
                <c:pt idx="3088" formatCode="#,##0">
                  <c:v>6350</c:v>
                </c:pt>
                <c:pt idx="3089" formatCode="#,##0">
                  <c:v>6350</c:v>
                </c:pt>
                <c:pt idx="3090" formatCode="#,##0">
                  <c:v>6350</c:v>
                </c:pt>
                <c:pt idx="3091" formatCode="#,##0">
                  <c:v>6350</c:v>
                </c:pt>
                <c:pt idx="3092" formatCode="#,##0">
                  <c:v>6350</c:v>
                </c:pt>
                <c:pt idx="3093" formatCode="#,##0">
                  <c:v>6350</c:v>
                </c:pt>
                <c:pt idx="3094" formatCode="#,##0">
                  <c:v>6350</c:v>
                </c:pt>
                <c:pt idx="3095" formatCode="#,##0">
                  <c:v>6350</c:v>
                </c:pt>
                <c:pt idx="3096" formatCode="#,##0">
                  <c:v>6350</c:v>
                </c:pt>
                <c:pt idx="3097" formatCode="#,##0">
                  <c:v>6350</c:v>
                </c:pt>
                <c:pt idx="3098" formatCode="#,##0">
                  <c:v>6350</c:v>
                </c:pt>
                <c:pt idx="3099" formatCode="#,##0">
                  <c:v>6350</c:v>
                </c:pt>
                <c:pt idx="3100" formatCode="#,##0">
                  <c:v>6350</c:v>
                </c:pt>
                <c:pt idx="3101" formatCode="#,##0">
                  <c:v>6350</c:v>
                </c:pt>
                <c:pt idx="3102" formatCode="#,##0">
                  <c:v>6350</c:v>
                </c:pt>
                <c:pt idx="3103" formatCode="#,##0">
                  <c:v>6350</c:v>
                </c:pt>
                <c:pt idx="3104" formatCode="#,##0">
                  <c:v>6350</c:v>
                </c:pt>
                <c:pt idx="3105" formatCode="#,##0">
                  <c:v>6350</c:v>
                </c:pt>
                <c:pt idx="3106" formatCode="#,##0">
                  <c:v>6350</c:v>
                </c:pt>
                <c:pt idx="3107" formatCode="#,##0">
                  <c:v>6350</c:v>
                </c:pt>
                <c:pt idx="3108" formatCode="#,##0">
                  <c:v>6350</c:v>
                </c:pt>
                <c:pt idx="3109" formatCode="#,##0">
                  <c:v>6350</c:v>
                </c:pt>
                <c:pt idx="3110" formatCode="#,##0">
                  <c:v>6350</c:v>
                </c:pt>
                <c:pt idx="3111" formatCode="#,##0">
                  <c:v>6350</c:v>
                </c:pt>
                <c:pt idx="3112" formatCode="#,##0">
                  <c:v>6350</c:v>
                </c:pt>
                <c:pt idx="3113" formatCode="#,##0">
                  <c:v>6350</c:v>
                </c:pt>
                <c:pt idx="3114" formatCode="#,##0">
                  <c:v>6350</c:v>
                </c:pt>
                <c:pt idx="3115" formatCode="#,##0">
                  <c:v>6350</c:v>
                </c:pt>
                <c:pt idx="3116" formatCode="#,##0">
                  <c:v>6350</c:v>
                </c:pt>
                <c:pt idx="3117" formatCode="#,##0">
                  <c:v>6350</c:v>
                </c:pt>
                <c:pt idx="3118" formatCode="#,##0">
                  <c:v>6350</c:v>
                </c:pt>
                <c:pt idx="3119" formatCode="#,##0">
                  <c:v>6350</c:v>
                </c:pt>
                <c:pt idx="3120" formatCode="#,##0">
                  <c:v>6350</c:v>
                </c:pt>
                <c:pt idx="3121" formatCode="#,##0">
                  <c:v>6350</c:v>
                </c:pt>
                <c:pt idx="3122" formatCode="#,##0">
                  <c:v>6350</c:v>
                </c:pt>
                <c:pt idx="3123" formatCode="#,##0">
                  <c:v>6350</c:v>
                </c:pt>
                <c:pt idx="3124" formatCode="#,##0">
                  <c:v>6350</c:v>
                </c:pt>
                <c:pt idx="3125" formatCode="#,##0">
                  <c:v>6350</c:v>
                </c:pt>
                <c:pt idx="3126" formatCode="#,##0">
                  <c:v>6350</c:v>
                </c:pt>
                <c:pt idx="3127" formatCode="#,##0">
                  <c:v>6350</c:v>
                </c:pt>
                <c:pt idx="3128" formatCode="#,##0">
                  <c:v>6350</c:v>
                </c:pt>
                <c:pt idx="3129" formatCode="#,##0">
                  <c:v>6350</c:v>
                </c:pt>
                <c:pt idx="3130" formatCode="#,##0">
                  <c:v>6350</c:v>
                </c:pt>
                <c:pt idx="3131" formatCode="#,##0">
                  <c:v>6350</c:v>
                </c:pt>
                <c:pt idx="3132" formatCode="#,##0">
                  <c:v>6350</c:v>
                </c:pt>
                <c:pt idx="3133" formatCode="#,##0">
                  <c:v>6350</c:v>
                </c:pt>
                <c:pt idx="3134" formatCode="#,##0">
                  <c:v>6350</c:v>
                </c:pt>
                <c:pt idx="3135" formatCode="#,##0">
                  <c:v>6350</c:v>
                </c:pt>
                <c:pt idx="3136" formatCode="#,##0">
                  <c:v>6350</c:v>
                </c:pt>
                <c:pt idx="3137" formatCode="#,##0">
                  <c:v>6350</c:v>
                </c:pt>
                <c:pt idx="3138" formatCode="#,##0">
                  <c:v>6350</c:v>
                </c:pt>
                <c:pt idx="3139" formatCode="#,##0">
                  <c:v>6350</c:v>
                </c:pt>
                <c:pt idx="3140" formatCode="#,##0">
                  <c:v>6350</c:v>
                </c:pt>
                <c:pt idx="3141" formatCode="#,##0">
                  <c:v>6350</c:v>
                </c:pt>
                <c:pt idx="3142" formatCode="#,##0">
                  <c:v>6350</c:v>
                </c:pt>
                <c:pt idx="3143" formatCode="#,##0">
                  <c:v>6350</c:v>
                </c:pt>
                <c:pt idx="3144" formatCode="#,##0">
                  <c:v>6350</c:v>
                </c:pt>
                <c:pt idx="3145" formatCode="#,##0">
                  <c:v>6350</c:v>
                </c:pt>
                <c:pt idx="3146" formatCode="#,##0">
                  <c:v>6350</c:v>
                </c:pt>
                <c:pt idx="3147" formatCode="#,##0">
                  <c:v>6350</c:v>
                </c:pt>
                <c:pt idx="3148" formatCode="#,##0">
                  <c:v>6350</c:v>
                </c:pt>
                <c:pt idx="3149" formatCode="#,##0">
                  <c:v>6650</c:v>
                </c:pt>
                <c:pt idx="3150" formatCode="#,##0">
                  <c:v>6650</c:v>
                </c:pt>
                <c:pt idx="3151" formatCode="#,##0">
                  <c:v>6650</c:v>
                </c:pt>
                <c:pt idx="3152" formatCode="#,##0">
                  <c:v>6650</c:v>
                </c:pt>
                <c:pt idx="3153" formatCode="#,##0">
                  <c:v>6650</c:v>
                </c:pt>
                <c:pt idx="3154" formatCode="#,##0">
                  <c:v>6650</c:v>
                </c:pt>
                <c:pt idx="3155" formatCode="#,##0">
                  <c:v>6650</c:v>
                </c:pt>
                <c:pt idx="3156" formatCode="#,##0">
                  <c:v>6650</c:v>
                </c:pt>
                <c:pt idx="3157" formatCode="#,##0">
                  <c:v>6650</c:v>
                </c:pt>
                <c:pt idx="3158" formatCode="#,##0">
                  <c:v>6650</c:v>
                </c:pt>
                <c:pt idx="3159" formatCode="#,##0">
                  <c:v>6650</c:v>
                </c:pt>
                <c:pt idx="3160" formatCode="#,##0">
                  <c:v>6650</c:v>
                </c:pt>
                <c:pt idx="3161" formatCode="#,##0">
                  <c:v>6650</c:v>
                </c:pt>
                <c:pt idx="3162" formatCode="#,##0">
                  <c:v>6650</c:v>
                </c:pt>
                <c:pt idx="3163" formatCode="#,##0">
                  <c:v>6650</c:v>
                </c:pt>
                <c:pt idx="3164" formatCode="#,##0">
                  <c:v>6650</c:v>
                </c:pt>
                <c:pt idx="3165" formatCode="#,##0">
                  <c:v>6650</c:v>
                </c:pt>
                <c:pt idx="3166" formatCode="#,##0">
                  <c:v>6650</c:v>
                </c:pt>
                <c:pt idx="3167" formatCode="#,##0">
                  <c:v>6650</c:v>
                </c:pt>
                <c:pt idx="3168" formatCode="#,##0">
                  <c:v>6650</c:v>
                </c:pt>
                <c:pt idx="3169" formatCode="#,##0">
                  <c:v>6650</c:v>
                </c:pt>
                <c:pt idx="3170" formatCode="#,##0">
                  <c:v>6650</c:v>
                </c:pt>
                <c:pt idx="3171" formatCode="#,##0">
                  <c:v>6650</c:v>
                </c:pt>
                <c:pt idx="3172" formatCode="#,##0">
                  <c:v>6650</c:v>
                </c:pt>
                <c:pt idx="3173" formatCode="#,##0">
                  <c:v>6650</c:v>
                </c:pt>
                <c:pt idx="3174" formatCode="#,##0">
                  <c:v>6650</c:v>
                </c:pt>
                <c:pt idx="3175" formatCode="#,##0">
                  <c:v>6650</c:v>
                </c:pt>
                <c:pt idx="3176" formatCode="#,##0">
                  <c:v>6650</c:v>
                </c:pt>
                <c:pt idx="3177" formatCode="#,##0">
                  <c:v>6650</c:v>
                </c:pt>
                <c:pt idx="3178" formatCode="#,##0">
                  <c:v>6650</c:v>
                </c:pt>
                <c:pt idx="3179" formatCode="#,##0">
                  <c:v>6650</c:v>
                </c:pt>
                <c:pt idx="3180" formatCode="#,##0">
                  <c:v>6650</c:v>
                </c:pt>
                <c:pt idx="3181" formatCode="#,##0">
                  <c:v>6650</c:v>
                </c:pt>
                <c:pt idx="3182" formatCode="#,##0">
                  <c:v>6650</c:v>
                </c:pt>
                <c:pt idx="3183" formatCode="#,##0">
                  <c:v>6650</c:v>
                </c:pt>
                <c:pt idx="3184" formatCode="#,##0">
                  <c:v>6650</c:v>
                </c:pt>
                <c:pt idx="3185" formatCode="#,##0">
                  <c:v>6650</c:v>
                </c:pt>
                <c:pt idx="3186" formatCode="#,##0">
                  <c:v>6650</c:v>
                </c:pt>
                <c:pt idx="3187" formatCode="#,##0">
                  <c:v>6650</c:v>
                </c:pt>
                <c:pt idx="3188" formatCode="#,##0">
                  <c:v>6650</c:v>
                </c:pt>
                <c:pt idx="3189" formatCode="#,##0">
                  <c:v>6650</c:v>
                </c:pt>
                <c:pt idx="3190" formatCode="#,##0">
                  <c:v>6650</c:v>
                </c:pt>
                <c:pt idx="3191" formatCode="#,##0">
                  <c:v>6650</c:v>
                </c:pt>
                <c:pt idx="3192" formatCode="#,##0">
                  <c:v>6650</c:v>
                </c:pt>
                <c:pt idx="3193" formatCode="#,##0">
                  <c:v>6650</c:v>
                </c:pt>
                <c:pt idx="3194" formatCode="#,##0">
                  <c:v>6650</c:v>
                </c:pt>
                <c:pt idx="3195" formatCode="#,##0">
                  <c:v>6650</c:v>
                </c:pt>
                <c:pt idx="3196" formatCode="#,##0">
                  <c:v>6650</c:v>
                </c:pt>
                <c:pt idx="3197" formatCode="#,##0">
                  <c:v>6650</c:v>
                </c:pt>
                <c:pt idx="3198" formatCode="#,##0">
                  <c:v>6650</c:v>
                </c:pt>
                <c:pt idx="3199" formatCode="#,##0">
                  <c:v>6650</c:v>
                </c:pt>
                <c:pt idx="3200" formatCode="#,##0">
                  <c:v>6650</c:v>
                </c:pt>
                <c:pt idx="3201" formatCode="#,##0">
                  <c:v>6650</c:v>
                </c:pt>
                <c:pt idx="3202" formatCode="#,##0">
                  <c:v>6650</c:v>
                </c:pt>
                <c:pt idx="3203" formatCode="#,##0">
                  <c:v>6950</c:v>
                </c:pt>
                <c:pt idx="3204" formatCode="#,##0">
                  <c:v>6950</c:v>
                </c:pt>
                <c:pt idx="3205" formatCode="#,##0">
                  <c:v>6950</c:v>
                </c:pt>
                <c:pt idx="3206" formatCode="#,##0">
                  <c:v>6950</c:v>
                </c:pt>
                <c:pt idx="3207" formatCode="#,##0">
                  <c:v>6950</c:v>
                </c:pt>
                <c:pt idx="3208" formatCode="#,##0">
                  <c:v>6950</c:v>
                </c:pt>
                <c:pt idx="3209" formatCode="#,##0">
                  <c:v>6950</c:v>
                </c:pt>
                <c:pt idx="3210" formatCode="#,##0">
                  <c:v>6950</c:v>
                </c:pt>
                <c:pt idx="3211" formatCode="#,##0">
                  <c:v>6950</c:v>
                </c:pt>
                <c:pt idx="3212" formatCode="#,##0">
                  <c:v>6950</c:v>
                </c:pt>
                <c:pt idx="3213" formatCode="#,##0">
                  <c:v>6950</c:v>
                </c:pt>
                <c:pt idx="3214" formatCode="#,##0">
                  <c:v>6950</c:v>
                </c:pt>
                <c:pt idx="3215" formatCode="#,##0">
                  <c:v>6950</c:v>
                </c:pt>
                <c:pt idx="3216" formatCode="#,##0">
                  <c:v>6950</c:v>
                </c:pt>
                <c:pt idx="3217" formatCode="#,##0">
                  <c:v>6950</c:v>
                </c:pt>
                <c:pt idx="3218" formatCode="#,##0">
                  <c:v>6950</c:v>
                </c:pt>
                <c:pt idx="3219" formatCode="#,##0">
                  <c:v>6950</c:v>
                </c:pt>
                <c:pt idx="3220" formatCode="#,##0">
                  <c:v>6950</c:v>
                </c:pt>
                <c:pt idx="3221" formatCode="#,##0">
                  <c:v>6950</c:v>
                </c:pt>
                <c:pt idx="3222" formatCode="#,##0">
                  <c:v>6950</c:v>
                </c:pt>
                <c:pt idx="3223" formatCode="#,##0">
                  <c:v>6950</c:v>
                </c:pt>
                <c:pt idx="3224" formatCode="#,##0">
                  <c:v>6950</c:v>
                </c:pt>
                <c:pt idx="3225" formatCode="#,##0">
                  <c:v>6950</c:v>
                </c:pt>
                <c:pt idx="3226" formatCode="#,##0">
                  <c:v>6950</c:v>
                </c:pt>
                <c:pt idx="3227" formatCode="#,##0">
                  <c:v>6950</c:v>
                </c:pt>
                <c:pt idx="3228" formatCode="#,##0">
                  <c:v>6950</c:v>
                </c:pt>
                <c:pt idx="3229" formatCode="#,##0">
                  <c:v>6950</c:v>
                </c:pt>
                <c:pt idx="3230" formatCode="#,##0">
                  <c:v>6950</c:v>
                </c:pt>
                <c:pt idx="3231" formatCode="#,##0">
                  <c:v>6950</c:v>
                </c:pt>
                <c:pt idx="3232" formatCode="#,##0">
                  <c:v>6950</c:v>
                </c:pt>
                <c:pt idx="3233" formatCode="#,##0">
                  <c:v>6950</c:v>
                </c:pt>
                <c:pt idx="3234" formatCode="#,##0">
                  <c:v>6950</c:v>
                </c:pt>
                <c:pt idx="3235" formatCode="#,##0">
                  <c:v>6950</c:v>
                </c:pt>
                <c:pt idx="3236" formatCode="#,##0">
                  <c:v>6950</c:v>
                </c:pt>
                <c:pt idx="3237" formatCode="#,##0">
                  <c:v>6950</c:v>
                </c:pt>
                <c:pt idx="3238" formatCode="#,##0">
                  <c:v>7250</c:v>
                </c:pt>
                <c:pt idx="3239" formatCode="#,##0">
                  <c:v>7250</c:v>
                </c:pt>
                <c:pt idx="3240" formatCode="#,##0">
                  <c:v>7250</c:v>
                </c:pt>
                <c:pt idx="3241" formatCode="#,##0">
                  <c:v>7250</c:v>
                </c:pt>
                <c:pt idx="3242" formatCode="#,##0">
                  <c:v>7250</c:v>
                </c:pt>
                <c:pt idx="3243" formatCode="#,##0">
                  <c:v>7250</c:v>
                </c:pt>
                <c:pt idx="3244" formatCode="#,##0">
                  <c:v>7250</c:v>
                </c:pt>
                <c:pt idx="3245" formatCode="#,##0">
                  <c:v>7250</c:v>
                </c:pt>
                <c:pt idx="3246" formatCode="#,##0">
                  <c:v>7250</c:v>
                </c:pt>
                <c:pt idx="3247" formatCode="#,##0">
                  <c:v>7250</c:v>
                </c:pt>
                <c:pt idx="3248" formatCode="#,##0">
                  <c:v>7250</c:v>
                </c:pt>
                <c:pt idx="3249" formatCode="#,##0">
                  <c:v>7250</c:v>
                </c:pt>
                <c:pt idx="3250" formatCode="#,##0">
                  <c:v>7250</c:v>
                </c:pt>
                <c:pt idx="3251" formatCode="#,##0">
                  <c:v>7250</c:v>
                </c:pt>
                <c:pt idx="3252" formatCode="#,##0">
                  <c:v>7250</c:v>
                </c:pt>
                <c:pt idx="3253" formatCode="#,##0">
                  <c:v>7250</c:v>
                </c:pt>
                <c:pt idx="3254" formatCode="#,##0">
                  <c:v>7250</c:v>
                </c:pt>
                <c:pt idx="3255" formatCode="#,##0">
                  <c:v>7250</c:v>
                </c:pt>
                <c:pt idx="3256" formatCode="#,##0">
                  <c:v>7250</c:v>
                </c:pt>
                <c:pt idx="3257" formatCode="#,##0">
                  <c:v>7250</c:v>
                </c:pt>
                <c:pt idx="3258" formatCode="#,##0">
                  <c:v>7250</c:v>
                </c:pt>
                <c:pt idx="3259" formatCode="#,##0">
                  <c:v>7250</c:v>
                </c:pt>
                <c:pt idx="3260" formatCode="#,##0">
                  <c:v>7250</c:v>
                </c:pt>
                <c:pt idx="3261" formatCode="#,##0">
                  <c:v>7250</c:v>
                </c:pt>
                <c:pt idx="3262" formatCode="#,##0">
                  <c:v>7250</c:v>
                </c:pt>
                <c:pt idx="3263" formatCode="#,##0">
                  <c:v>7250</c:v>
                </c:pt>
                <c:pt idx="3264" formatCode="#,##0">
                  <c:v>7250</c:v>
                </c:pt>
                <c:pt idx="3265" formatCode="#,##0">
                  <c:v>7250</c:v>
                </c:pt>
                <c:pt idx="3266" formatCode="#,##0">
                  <c:v>7250</c:v>
                </c:pt>
                <c:pt idx="3267" formatCode="#,##0">
                  <c:v>7250</c:v>
                </c:pt>
                <c:pt idx="3268" formatCode="#,##0">
                  <c:v>7250</c:v>
                </c:pt>
                <c:pt idx="3269" formatCode="#,##0">
                  <c:v>7250</c:v>
                </c:pt>
                <c:pt idx="3270" formatCode="#,##0">
                  <c:v>7250</c:v>
                </c:pt>
                <c:pt idx="3271" formatCode="#,##0">
                  <c:v>7250</c:v>
                </c:pt>
                <c:pt idx="3272" formatCode="#,##0">
                  <c:v>7550</c:v>
                </c:pt>
                <c:pt idx="3273" formatCode="#,##0">
                  <c:v>7550</c:v>
                </c:pt>
                <c:pt idx="3274" formatCode="#,##0">
                  <c:v>7550</c:v>
                </c:pt>
                <c:pt idx="3275" formatCode="#,##0">
                  <c:v>7550</c:v>
                </c:pt>
                <c:pt idx="3276" formatCode="#,##0">
                  <c:v>7550</c:v>
                </c:pt>
                <c:pt idx="3277" formatCode="#,##0">
                  <c:v>7550</c:v>
                </c:pt>
                <c:pt idx="3278" formatCode="#,##0">
                  <c:v>7550</c:v>
                </c:pt>
                <c:pt idx="3279" formatCode="#,##0">
                  <c:v>7550</c:v>
                </c:pt>
                <c:pt idx="3280" formatCode="#,##0">
                  <c:v>7550</c:v>
                </c:pt>
                <c:pt idx="3281" formatCode="#,##0">
                  <c:v>7550</c:v>
                </c:pt>
                <c:pt idx="3282" formatCode="#,##0">
                  <c:v>7550</c:v>
                </c:pt>
                <c:pt idx="3283" formatCode="#,##0">
                  <c:v>7550</c:v>
                </c:pt>
                <c:pt idx="3284" formatCode="#,##0">
                  <c:v>7550</c:v>
                </c:pt>
                <c:pt idx="3285" formatCode="#,##0">
                  <c:v>7550</c:v>
                </c:pt>
                <c:pt idx="3286" formatCode="#,##0">
                  <c:v>7550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BF-4B28-96FB-8DF300DB258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1-DEBF-4B28-96FB-8DF300DB258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DEBF-4B28-96FB-8DF300DB2588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3-DEBF-4B28-96FB-8DF300DB2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0676943"/>
        <c:axId val="1345420351"/>
      </c:scatterChart>
      <c:valAx>
        <c:axId val="1340676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45420351"/>
        <c:crosses val="autoZero"/>
        <c:crossBetween val="midCat"/>
      </c:valAx>
      <c:valAx>
        <c:axId val="1345420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406769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Plano XY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Hoja3!$A:$A</c:f>
              <c:strCache>
                <c:ptCount val="3287"/>
                <c:pt idx="0">
                  <c:v>0</c:v>
                </c:pt>
                <c:pt idx="1">
                  <c:v>-4.511</c:v>
                </c:pt>
                <c:pt idx="2">
                  <c:v>-10.176</c:v>
                </c:pt>
                <c:pt idx="3">
                  <c:v>-12.428</c:v>
                </c:pt>
                <c:pt idx="4">
                  <c:v>-14.398</c:v>
                </c:pt>
                <c:pt idx="5">
                  <c:v>-15.848</c:v>
                </c:pt>
                <c:pt idx="6">
                  <c:v>-16.693</c:v>
                </c:pt>
                <c:pt idx="7">
                  <c:v>-16.624</c:v>
                </c:pt>
                <c:pt idx="8">
                  <c:v>-16.555</c:v>
                </c:pt>
                <c:pt idx="9">
                  <c:v>-16.121</c:v>
                </c:pt>
                <c:pt idx="10">
                  <c:v>-14.945</c:v>
                </c:pt>
                <c:pt idx="11">
                  <c:v>-13.168</c:v>
                </c:pt>
                <c:pt idx="12">
                  <c:v>-9.888</c:v>
                </c:pt>
                <c:pt idx="13">
                  <c:v>4.511</c:v>
                </c:pt>
                <c:pt idx="14">
                  <c:v>10.176</c:v>
                </c:pt>
                <c:pt idx="15">
                  <c:v>12.428</c:v>
                </c:pt>
                <c:pt idx="16">
                  <c:v>14.398</c:v>
                </c:pt>
                <c:pt idx="17">
                  <c:v>15.848</c:v>
                </c:pt>
                <c:pt idx="18">
                  <c:v>16.693</c:v>
                </c:pt>
                <c:pt idx="19">
                  <c:v>16.624</c:v>
                </c:pt>
                <c:pt idx="20">
                  <c:v>16.555</c:v>
                </c:pt>
                <c:pt idx="21">
                  <c:v>16.121</c:v>
                </c:pt>
                <c:pt idx="22">
                  <c:v>14.945</c:v>
                </c:pt>
                <c:pt idx="23">
                  <c:v>13.168</c:v>
                </c:pt>
                <c:pt idx="24">
                  <c:v>9.888</c:v>
                </c:pt>
                <c:pt idx="25">
                  <c:v>-4.391</c:v>
                </c:pt>
                <c:pt idx="26">
                  <c:v>-8.031</c:v>
                </c:pt>
                <c:pt idx="27">
                  <c:v>-7.974</c:v>
                </c:pt>
                <c:pt idx="28">
                  <c:v>-7.974</c:v>
                </c:pt>
                <c:pt idx="29">
                  <c:v>-7.915</c:v>
                </c:pt>
                <c:pt idx="30">
                  <c:v>-3.028</c:v>
                </c:pt>
                <c:pt idx="31">
                  <c:v>3.126</c:v>
                </c:pt>
                <c:pt idx="32">
                  <c:v>8.031</c:v>
                </c:pt>
                <c:pt idx="33">
                  <c:v>7.974</c:v>
                </c:pt>
                <c:pt idx="34">
                  <c:v>7.974</c:v>
                </c:pt>
                <c:pt idx="35">
                  <c:v>7.916</c:v>
                </c:pt>
                <c:pt idx="36">
                  <c:v>3.028</c:v>
                </c:pt>
                <c:pt idx="37">
                  <c:v>-3.126</c:v>
                </c:pt>
                <c:pt idx="38">
                  <c:v>-7.911</c:v>
                </c:pt>
                <c:pt idx="39">
                  <c:v>-7.396</c:v>
                </c:pt>
                <c:pt idx="40">
                  <c:v>-7.349</c:v>
                </c:pt>
                <c:pt idx="41">
                  <c:v>-7.349</c:v>
                </c:pt>
                <c:pt idx="42">
                  <c:v>-7.301</c:v>
                </c:pt>
                <c:pt idx="43">
                  <c:v>-3.033</c:v>
                </c:pt>
                <c:pt idx="44">
                  <c:v>3.121</c:v>
                </c:pt>
                <c:pt idx="45">
                  <c:v>7.396</c:v>
                </c:pt>
                <c:pt idx="46">
                  <c:v>7.349</c:v>
                </c:pt>
                <c:pt idx="47">
                  <c:v>7.349</c:v>
                </c:pt>
                <c:pt idx="48">
                  <c:v>7.302</c:v>
                </c:pt>
                <c:pt idx="49">
                  <c:v>3.033</c:v>
                </c:pt>
                <c:pt idx="50">
                  <c:v>-3.121</c:v>
                </c:pt>
                <c:pt idx="51">
                  <c:v>-7.276</c:v>
                </c:pt>
                <c:pt idx="52">
                  <c:v>-8.196</c:v>
                </c:pt>
                <c:pt idx="53">
                  <c:v>-9.077</c:v>
                </c:pt>
                <c:pt idx="54">
                  <c:v>-9.024</c:v>
                </c:pt>
                <c:pt idx="55">
                  <c:v>-9.024</c:v>
                </c:pt>
                <c:pt idx="56">
                  <c:v>-8.972</c:v>
                </c:pt>
                <c:pt idx="57">
                  <c:v>-4.339</c:v>
                </c:pt>
                <c:pt idx="58">
                  <c:v>4.461</c:v>
                </c:pt>
                <c:pt idx="59">
                  <c:v>9.077</c:v>
                </c:pt>
                <c:pt idx="60">
                  <c:v>9.024</c:v>
                </c:pt>
                <c:pt idx="61">
                  <c:v>9.024</c:v>
                </c:pt>
                <c:pt idx="62">
                  <c:v>8.972</c:v>
                </c:pt>
                <c:pt idx="63">
                  <c:v>4.339</c:v>
                </c:pt>
                <c:pt idx="64">
                  <c:v>-4.461</c:v>
                </c:pt>
                <c:pt idx="65">
                  <c:v>-8.957</c:v>
                </c:pt>
                <c:pt idx="66">
                  <c:v>-9.712</c:v>
                </c:pt>
                <c:pt idx="67">
                  <c:v>-9.649</c:v>
                </c:pt>
                <c:pt idx="68">
                  <c:v>-9.649</c:v>
                </c:pt>
                <c:pt idx="69">
                  <c:v>-9.586</c:v>
                </c:pt>
                <c:pt idx="70">
                  <c:v>-4.334</c:v>
                </c:pt>
                <c:pt idx="71">
                  <c:v>4.466</c:v>
                </c:pt>
                <c:pt idx="72">
                  <c:v>9.712</c:v>
                </c:pt>
                <c:pt idx="73">
                  <c:v>9.649</c:v>
                </c:pt>
                <c:pt idx="74">
                  <c:v>9.649</c:v>
                </c:pt>
                <c:pt idx="75">
                  <c:v>9.586</c:v>
                </c:pt>
                <c:pt idx="76">
                  <c:v>4.334</c:v>
                </c:pt>
                <c:pt idx="77">
                  <c:v>-4.466</c:v>
                </c:pt>
                <c:pt idx="78">
                  <c:v>-9.592</c:v>
                </c:pt>
                <c:pt idx="79">
                  <c:v>-9.303</c:v>
                </c:pt>
                <c:pt idx="80">
                  <c:v>-8.550</c:v>
                </c:pt>
                <c:pt idx="81">
                  <c:v>-8.499</c:v>
                </c:pt>
                <c:pt idx="82">
                  <c:v>-8.489</c:v>
                </c:pt>
                <c:pt idx="83">
                  <c:v>-8.446</c:v>
                </c:pt>
                <c:pt idx="84">
                  <c:v>-8.418</c:v>
                </c:pt>
                <c:pt idx="85">
                  <c:v>-8.218</c:v>
                </c:pt>
                <c:pt idx="86">
                  <c:v>-3.024</c:v>
                </c:pt>
                <c:pt idx="87">
                  <c:v>3.132</c:v>
                </c:pt>
                <c:pt idx="88">
                  <c:v>8.352</c:v>
                </c:pt>
                <c:pt idx="89">
                  <c:v>8.506</c:v>
                </c:pt>
                <c:pt idx="90">
                  <c:v>8.550</c:v>
                </c:pt>
                <c:pt idx="91">
                  <c:v>8.499</c:v>
                </c:pt>
                <c:pt idx="92">
                  <c:v>8.499</c:v>
                </c:pt>
                <c:pt idx="93">
                  <c:v>8.447</c:v>
                </c:pt>
                <c:pt idx="94">
                  <c:v>8.418</c:v>
                </c:pt>
                <c:pt idx="95">
                  <c:v>8.220</c:v>
                </c:pt>
                <c:pt idx="96">
                  <c:v>3.024</c:v>
                </c:pt>
                <c:pt idx="97">
                  <c:v>-4.456</c:v>
                </c:pt>
                <c:pt idx="98">
                  <c:v>-8.352</c:v>
                </c:pt>
                <c:pt idx="99">
                  <c:v>-8.506</c:v>
                </c:pt>
                <c:pt idx="100">
                  <c:v>-8.524</c:v>
                </c:pt>
                <c:pt idx="101">
                  <c:v>-8.524</c:v>
                </c:pt>
                <c:pt idx="102">
                  <c:v>-8.259</c:v>
                </c:pt>
                <c:pt idx="103">
                  <c:v>-7.876</c:v>
                </c:pt>
                <c:pt idx="104">
                  <c:v>-7.812</c:v>
                </c:pt>
                <c:pt idx="105">
                  <c:v>8.259</c:v>
                </c:pt>
                <c:pt idx="106">
                  <c:v>7.824</c:v>
                </c:pt>
                <c:pt idx="107">
                  <c:v>-8.139</c:v>
                </c:pt>
                <c:pt idx="108">
                  <c:v>-7.586</c:v>
                </c:pt>
                <c:pt idx="109">
                  <c:v>-7.197</c:v>
                </c:pt>
                <c:pt idx="110">
                  <c:v>7.586</c:v>
                </c:pt>
                <c:pt idx="111">
                  <c:v>7.201</c:v>
                </c:pt>
                <c:pt idx="112">
                  <c:v>-7.466</c:v>
                </c:pt>
                <c:pt idx="113">
                  <c:v>-8.376</c:v>
                </c:pt>
                <c:pt idx="114">
                  <c:v>-9.198</c:v>
                </c:pt>
                <c:pt idx="115">
                  <c:v>-8.691</c:v>
                </c:pt>
                <c:pt idx="116">
                  <c:v>9.198</c:v>
                </c:pt>
                <c:pt idx="117">
                  <c:v>8.691</c:v>
                </c:pt>
                <c:pt idx="118">
                  <c:v>-9.078</c:v>
                </c:pt>
                <c:pt idx="119">
                  <c:v>-9.871</c:v>
                </c:pt>
                <c:pt idx="120">
                  <c:v>-9.313</c:v>
                </c:pt>
                <c:pt idx="121">
                  <c:v>9.871</c:v>
                </c:pt>
                <c:pt idx="122">
                  <c:v>9.314</c:v>
                </c:pt>
                <c:pt idx="123">
                  <c:v>-9.751</c:v>
                </c:pt>
                <c:pt idx="124">
                  <c:v>-9.596</c:v>
                </c:pt>
                <c:pt idx="125">
                  <c:v>-8.724</c:v>
                </c:pt>
                <c:pt idx="126">
                  <c:v>-8.326</c:v>
                </c:pt>
                <c:pt idx="127">
                  <c:v>-8.254</c:v>
                </c:pt>
                <c:pt idx="128">
                  <c:v>-8.233</c:v>
                </c:pt>
                <c:pt idx="129">
                  <c:v>-8.124</c:v>
                </c:pt>
                <c:pt idx="130">
                  <c:v>8.611</c:v>
                </c:pt>
                <c:pt idx="131">
                  <c:v>8.708</c:v>
                </c:pt>
                <c:pt idx="132">
                  <c:v>8.724</c:v>
                </c:pt>
                <c:pt idx="133">
                  <c:v>8.262</c:v>
                </c:pt>
                <c:pt idx="134">
                  <c:v>8.238</c:v>
                </c:pt>
                <c:pt idx="135">
                  <c:v>8.140</c:v>
                </c:pt>
                <c:pt idx="136">
                  <c:v>-8.611</c:v>
                </c:pt>
                <c:pt idx="137">
                  <c:v>-8.687</c:v>
                </c:pt>
                <c:pt idx="138">
                  <c:v>-8.687</c:v>
                </c:pt>
                <c:pt idx="139">
                  <c:v>-8.470</c:v>
                </c:pt>
                <c:pt idx="140">
                  <c:v>-7.569</c:v>
                </c:pt>
                <c:pt idx="141">
                  <c:v>8.471</c:v>
                </c:pt>
                <c:pt idx="142">
                  <c:v>7.571</c:v>
                </c:pt>
                <c:pt idx="143">
                  <c:v>-8.351</c:v>
                </c:pt>
                <c:pt idx="144">
                  <c:v>-7.772</c:v>
                </c:pt>
                <c:pt idx="145">
                  <c:v>-6.977</c:v>
                </c:pt>
                <c:pt idx="146">
                  <c:v>7.772</c:v>
                </c:pt>
                <c:pt idx="147">
                  <c:v>6.978</c:v>
                </c:pt>
                <c:pt idx="148">
                  <c:v>-7.652</c:v>
                </c:pt>
                <c:pt idx="149">
                  <c:v>-8.567</c:v>
                </c:pt>
                <c:pt idx="150">
                  <c:v>-9.445</c:v>
                </c:pt>
                <c:pt idx="151">
                  <c:v>-8.399</c:v>
                </c:pt>
                <c:pt idx="152">
                  <c:v>9.445</c:v>
                </c:pt>
                <c:pt idx="153">
                  <c:v>8.399</c:v>
                </c:pt>
                <c:pt idx="154">
                  <c:v>-9.326</c:v>
                </c:pt>
                <c:pt idx="155">
                  <c:v>-10.144</c:v>
                </c:pt>
                <c:pt idx="156">
                  <c:v>-8.993</c:v>
                </c:pt>
                <c:pt idx="157">
                  <c:v>10.144</c:v>
                </c:pt>
                <c:pt idx="158">
                  <c:v>8.993</c:v>
                </c:pt>
                <c:pt idx="159">
                  <c:v>-10.024</c:v>
                </c:pt>
                <c:pt idx="160">
                  <c:v>-9.838</c:v>
                </c:pt>
                <c:pt idx="161">
                  <c:v>-8.948</c:v>
                </c:pt>
                <c:pt idx="162">
                  <c:v>-7.993</c:v>
                </c:pt>
                <c:pt idx="163">
                  <c:v>-7.966</c:v>
                </c:pt>
                <c:pt idx="164">
                  <c:v>-7.864</c:v>
                </c:pt>
                <c:pt idx="165">
                  <c:v>8.840</c:v>
                </c:pt>
                <c:pt idx="166">
                  <c:v>8.936</c:v>
                </c:pt>
                <c:pt idx="167">
                  <c:v>8.948</c:v>
                </c:pt>
                <c:pt idx="168">
                  <c:v>7.995</c:v>
                </c:pt>
                <c:pt idx="169">
                  <c:v>7.967</c:v>
                </c:pt>
                <c:pt idx="170">
                  <c:v>7.868</c:v>
                </c:pt>
                <c:pt idx="171">
                  <c:v>-8.840</c:v>
                </c:pt>
                <c:pt idx="172">
                  <c:v>-8.916</c:v>
                </c:pt>
                <c:pt idx="173">
                  <c:v>-8.916</c:v>
                </c:pt>
                <c:pt idx="174">
                  <c:v>-8.668</c:v>
                </c:pt>
                <c:pt idx="175">
                  <c:v>-7.313</c:v>
                </c:pt>
                <c:pt idx="176">
                  <c:v>8.668</c:v>
                </c:pt>
                <c:pt idx="177">
                  <c:v>7.306</c:v>
                </c:pt>
                <c:pt idx="178">
                  <c:v>-8.549</c:v>
                </c:pt>
                <c:pt idx="179">
                  <c:v>-7.945</c:v>
                </c:pt>
                <c:pt idx="180">
                  <c:v>-6.745</c:v>
                </c:pt>
                <c:pt idx="181">
                  <c:v>7.945</c:v>
                </c:pt>
                <c:pt idx="182">
                  <c:v>6.742</c:v>
                </c:pt>
                <c:pt idx="183">
                  <c:v>-7.826</c:v>
                </c:pt>
                <c:pt idx="184">
                  <c:v>-8.743</c:v>
                </c:pt>
                <c:pt idx="185">
                  <c:v>-9.675</c:v>
                </c:pt>
                <c:pt idx="186">
                  <c:v>-8.092</c:v>
                </c:pt>
                <c:pt idx="187">
                  <c:v>9.675</c:v>
                </c:pt>
                <c:pt idx="188">
                  <c:v>8.092</c:v>
                </c:pt>
                <c:pt idx="189">
                  <c:v>-9.556</c:v>
                </c:pt>
                <c:pt idx="190">
                  <c:v>-10.398</c:v>
                </c:pt>
                <c:pt idx="191">
                  <c:v>-8.656</c:v>
                </c:pt>
                <c:pt idx="192">
                  <c:v>10.398</c:v>
                </c:pt>
                <c:pt idx="193">
                  <c:v>8.656</c:v>
                </c:pt>
                <c:pt idx="194">
                  <c:v>-10.279</c:v>
                </c:pt>
                <c:pt idx="195">
                  <c:v>-10.062</c:v>
                </c:pt>
                <c:pt idx="196">
                  <c:v>-9.157</c:v>
                </c:pt>
                <c:pt idx="197">
                  <c:v>-7.718</c:v>
                </c:pt>
                <c:pt idx="198">
                  <c:v>-7.685</c:v>
                </c:pt>
                <c:pt idx="199">
                  <c:v>-7.592</c:v>
                </c:pt>
                <c:pt idx="200">
                  <c:v>9.055</c:v>
                </c:pt>
                <c:pt idx="201">
                  <c:v>9.149</c:v>
                </c:pt>
                <c:pt idx="202">
                  <c:v>9.157</c:v>
                </c:pt>
                <c:pt idx="203">
                  <c:v>7.713</c:v>
                </c:pt>
                <c:pt idx="204">
                  <c:v>7.681</c:v>
                </c:pt>
                <c:pt idx="205">
                  <c:v>7.582</c:v>
                </c:pt>
                <c:pt idx="206">
                  <c:v>-9.055</c:v>
                </c:pt>
                <c:pt idx="207">
                  <c:v>-9.130</c:v>
                </c:pt>
                <c:pt idx="208">
                  <c:v>-9.130</c:v>
                </c:pt>
                <c:pt idx="209">
                  <c:v>-8.850</c:v>
                </c:pt>
                <c:pt idx="210">
                  <c:v>-7.029</c:v>
                </c:pt>
                <c:pt idx="211">
                  <c:v>8.850</c:v>
                </c:pt>
                <c:pt idx="212">
                  <c:v>7.029</c:v>
                </c:pt>
                <c:pt idx="213">
                  <c:v>-8.731</c:v>
                </c:pt>
                <c:pt idx="214">
                  <c:v>-8.104</c:v>
                </c:pt>
                <c:pt idx="215">
                  <c:v>-6.496</c:v>
                </c:pt>
                <c:pt idx="216">
                  <c:v>8.104</c:v>
                </c:pt>
                <c:pt idx="217">
                  <c:v>6.496</c:v>
                </c:pt>
                <c:pt idx="218">
                  <c:v>-7.985</c:v>
                </c:pt>
                <c:pt idx="219">
                  <c:v>-8.903</c:v>
                </c:pt>
                <c:pt idx="220">
                  <c:v>-9.889</c:v>
                </c:pt>
                <c:pt idx="221">
                  <c:v>-7.771</c:v>
                </c:pt>
                <c:pt idx="222">
                  <c:v>9.889</c:v>
                </c:pt>
                <c:pt idx="223">
                  <c:v>7.771</c:v>
                </c:pt>
                <c:pt idx="224">
                  <c:v>-9.771</c:v>
                </c:pt>
                <c:pt idx="225">
                  <c:v>-10.635</c:v>
                </c:pt>
                <c:pt idx="226">
                  <c:v>-8.305</c:v>
                </c:pt>
                <c:pt idx="227">
                  <c:v>10.635</c:v>
                </c:pt>
                <c:pt idx="228">
                  <c:v>8.304</c:v>
                </c:pt>
                <c:pt idx="229">
                  <c:v>-10.517</c:v>
                </c:pt>
                <c:pt idx="230">
                  <c:v>-10.269</c:v>
                </c:pt>
                <c:pt idx="231">
                  <c:v>-9.350</c:v>
                </c:pt>
                <c:pt idx="232">
                  <c:v>-7.420</c:v>
                </c:pt>
                <c:pt idx="233">
                  <c:v>-7.384</c:v>
                </c:pt>
                <c:pt idx="234">
                  <c:v>-7.285</c:v>
                </c:pt>
                <c:pt idx="235">
                  <c:v>9.253</c:v>
                </c:pt>
                <c:pt idx="236">
                  <c:v>9.346</c:v>
                </c:pt>
                <c:pt idx="237">
                  <c:v>9.350</c:v>
                </c:pt>
                <c:pt idx="238">
                  <c:v>7.419</c:v>
                </c:pt>
                <c:pt idx="239">
                  <c:v>7.383</c:v>
                </c:pt>
                <c:pt idx="240">
                  <c:v>7.284</c:v>
                </c:pt>
                <c:pt idx="241">
                  <c:v>-9.253</c:v>
                </c:pt>
                <c:pt idx="242">
                  <c:v>-9.327</c:v>
                </c:pt>
                <c:pt idx="243">
                  <c:v>-9.327</c:v>
                </c:pt>
                <c:pt idx="244">
                  <c:v>-9.015</c:v>
                </c:pt>
                <c:pt idx="245">
                  <c:v>-6.729</c:v>
                </c:pt>
                <c:pt idx="246">
                  <c:v>9.015</c:v>
                </c:pt>
                <c:pt idx="247">
                  <c:v>6.737</c:v>
                </c:pt>
                <c:pt idx="248">
                  <c:v>-8.897</c:v>
                </c:pt>
                <c:pt idx="249">
                  <c:v>-8.247</c:v>
                </c:pt>
                <c:pt idx="250">
                  <c:v>-6.232</c:v>
                </c:pt>
                <c:pt idx="251">
                  <c:v>8.248</c:v>
                </c:pt>
                <c:pt idx="252">
                  <c:v>6.235</c:v>
                </c:pt>
                <c:pt idx="253">
                  <c:v>-8.130</c:v>
                </c:pt>
                <c:pt idx="254">
                  <c:v>-9.047</c:v>
                </c:pt>
                <c:pt idx="255">
                  <c:v>-10.085</c:v>
                </c:pt>
                <c:pt idx="256">
                  <c:v>-7.436</c:v>
                </c:pt>
                <c:pt idx="257">
                  <c:v>10.085</c:v>
                </c:pt>
                <c:pt idx="258">
                  <c:v>7.436</c:v>
                </c:pt>
                <c:pt idx="259">
                  <c:v>-9.968</c:v>
                </c:pt>
                <c:pt idx="260">
                  <c:v>-10.853</c:v>
                </c:pt>
                <c:pt idx="261">
                  <c:v>-7.937</c:v>
                </c:pt>
                <c:pt idx="262">
                  <c:v>10.853</c:v>
                </c:pt>
                <c:pt idx="263">
                  <c:v>7.937</c:v>
                </c:pt>
                <c:pt idx="264">
                  <c:v>-10.736</c:v>
                </c:pt>
                <c:pt idx="265">
                  <c:v>-10.457</c:v>
                </c:pt>
                <c:pt idx="266">
                  <c:v>-9.526</c:v>
                </c:pt>
                <c:pt idx="267">
                  <c:v>-7.469</c:v>
                </c:pt>
                <c:pt idx="268">
                  <c:v>-7.105</c:v>
                </c:pt>
                <c:pt idx="269">
                  <c:v>-7.068</c:v>
                </c:pt>
                <c:pt idx="270">
                  <c:v>-6.961</c:v>
                </c:pt>
                <c:pt idx="271">
                  <c:v>9.435</c:v>
                </c:pt>
                <c:pt idx="272">
                  <c:v>9.526</c:v>
                </c:pt>
                <c:pt idx="273">
                  <c:v>9.526</c:v>
                </c:pt>
                <c:pt idx="274">
                  <c:v>7.110</c:v>
                </c:pt>
                <c:pt idx="275">
                  <c:v>7.071</c:v>
                </c:pt>
                <c:pt idx="276">
                  <c:v>6.971</c:v>
                </c:pt>
                <c:pt idx="277">
                  <c:v>-9.435</c:v>
                </c:pt>
                <c:pt idx="278">
                  <c:v>-9.507</c:v>
                </c:pt>
                <c:pt idx="279">
                  <c:v>-9.507</c:v>
                </c:pt>
                <c:pt idx="280">
                  <c:v>-9.165</c:v>
                </c:pt>
                <c:pt idx="281">
                  <c:v>-6.436</c:v>
                </c:pt>
                <c:pt idx="282">
                  <c:v>9.165</c:v>
                </c:pt>
                <c:pt idx="283">
                  <c:v>6.434</c:v>
                </c:pt>
                <c:pt idx="284">
                  <c:v>-9.049</c:v>
                </c:pt>
                <c:pt idx="285">
                  <c:v>-8.377</c:v>
                </c:pt>
                <c:pt idx="286">
                  <c:v>-5.966</c:v>
                </c:pt>
                <c:pt idx="287">
                  <c:v>8.377</c:v>
                </c:pt>
                <c:pt idx="288">
                  <c:v>5.965</c:v>
                </c:pt>
                <c:pt idx="289">
                  <c:v>-8.261</c:v>
                </c:pt>
                <c:pt idx="290">
                  <c:v>-9.176</c:v>
                </c:pt>
                <c:pt idx="291">
                  <c:v>-10.264</c:v>
                </c:pt>
                <c:pt idx="292">
                  <c:v>-7.088</c:v>
                </c:pt>
                <c:pt idx="293">
                  <c:v>10.264</c:v>
                </c:pt>
                <c:pt idx="294">
                  <c:v>7.088</c:v>
                </c:pt>
                <c:pt idx="295">
                  <c:v>-10.148</c:v>
                </c:pt>
                <c:pt idx="296">
                  <c:v>-11.052</c:v>
                </c:pt>
                <c:pt idx="297">
                  <c:v>-7.557</c:v>
                </c:pt>
                <c:pt idx="298">
                  <c:v>11.052</c:v>
                </c:pt>
                <c:pt idx="299">
                  <c:v>7.557</c:v>
                </c:pt>
                <c:pt idx="300">
                  <c:v>-10.936</c:v>
                </c:pt>
                <c:pt idx="301">
                  <c:v>-10.627</c:v>
                </c:pt>
                <c:pt idx="302">
                  <c:v>-9.686</c:v>
                </c:pt>
                <c:pt idx="303">
                  <c:v>-6.791</c:v>
                </c:pt>
                <c:pt idx="304">
                  <c:v>-6.748</c:v>
                </c:pt>
                <c:pt idx="305">
                  <c:v>-6.649</c:v>
                </c:pt>
                <c:pt idx="306">
                  <c:v>9.601</c:v>
                </c:pt>
                <c:pt idx="307">
                  <c:v>9.690</c:v>
                </c:pt>
                <c:pt idx="308">
                  <c:v>9.686</c:v>
                </c:pt>
                <c:pt idx="309">
                  <c:v>6.790</c:v>
                </c:pt>
                <c:pt idx="310">
                  <c:v>6.747</c:v>
                </c:pt>
                <c:pt idx="311">
                  <c:v>6.647</c:v>
                </c:pt>
                <c:pt idx="312">
                  <c:v>-9.601</c:v>
                </c:pt>
                <c:pt idx="313">
                  <c:v>-9.672</c:v>
                </c:pt>
                <c:pt idx="314">
                  <c:v>9.594</c:v>
                </c:pt>
                <c:pt idx="315">
                  <c:v>9.549</c:v>
                </c:pt>
                <c:pt idx="316">
                  <c:v>9.460</c:v>
                </c:pt>
                <c:pt idx="317">
                  <c:v>9.327</c:v>
                </c:pt>
                <c:pt idx="318">
                  <c:v>9.149</c:v>
                </c:pt>
                <c:pt idx="319">
                  <c:v>9.035</c:v>
                </c:pt>
                <c:pt idx="320">
                  <c:v>8.805</c:v>
                </c:pt>
                <c:pt idx="321">
                  <c:v>8.525</c:v>
                </c:pt>
                <c:pt idx="322">
                  <c:v>8.027</c:v>
                </c:pt>
                <c:pt idx="323">
                  <c:v>7.446</c:v>
                </c:pt>
                <c:pt idx="324">
                  <c:v>6.788</c:v>
                </c:pt>
                <c:pt idx="325">
                  <c:v>6.058</c:v>
                </c:pt>
                <c:pt idx="326">
                  <c:v>5.265</c:v>
                </c:pt>
                <c:pt idx="327">
                  <c:v>4.416</c:v>
                </c:pt>
                <c:pt idx="328">
                  <c:v>3.522</c:v>
                </c:pt>
                <c:pt idx="329">
                  <c:v>2.590</c:v>
                </c:pt>
                <c:pt idx="330">
                  <c:v>1.628</c:v>
                </c:pt>
                <c:pt idx="331">
                  <c:v>0,982</c:v>
                </c:pt>
                <c:pt idx="332">
                  <c:v>0,328</c:v>
                </c:pt>
                <c:pt idx="333">
                  <c:v>-9.480</c:v>
                </c:pt>
                <c:pt idx="334">
                  <c:v>-9.201</c:v>
                </c:pt>
                <c:pt idx="335">
                  <c:v>-5.489</c:v>
                </c:pt>
                <c:pt idx="336">
                  <c:v>-6.497</c:v>
                </c:pt>
                <c:pt idx="337">
                  <c:v>-6.497</c:v>
                </c:pt>
                <c:pt idx="338">
                  <c:v>-3.631</c:v>
                </c:pt>
                <c:pt idx="339">
                  <c:v>-1.773</c:v>
                </c:pt>
                <c:pt idx="340">
                  <c:v>-6.497</c:v>
                </c:pt>
                <c:pt idx="341">
                  <c:v>-6.497</c:v>
                </c:pt>
                <c:pt idx="342">
                  <c:v>0,085</c:v>
                </c:pt>
                <c:pt idx="343">
                  <c:v>0,707</c:v>
                </c:pt>
                <c:pt idx="344">
                  <c:v>1.117</c:v>
                </c:pt>
                <c:pt idx="345">
                  <c:v>1.488</c:v>
                </c:pt>
                <c:pt idx="346">
                  <c:v>1.796</c:v>
                </c:pt>
                <c:pt idx="347">
                  <c:v>-6.497</c:v>
                </c:pt>
                <c:pt idx="348">
                  <c:v>-6.497</c:v>
                </c:pt>
                <c:pt idx="349">
                  <c:v>3.172</c:v>
                </c:pt>
                <c:pt idx="350">
                  <c:v>3.788</c:v>
                </c:pt>
                <c:pt idx="351">
                  <c:v>4.302</c:v>
                </c:pt>
                <c:pt idx="352">
                  <c:v>-6.497</c:v>
                </c:pt>
                <c:pt idx="353">
                  <c:v>-6.497</c:v>
                </c:pt>
                <c:pt idx="354">
                  <c:v>-5.466</c:v>
                </c:pt>
                <c:pt idx="355">
                  <c:v>5.218</c:v>
                </c:pt>
                <c:pt idx="356">
                  <c:v>5.511</c:v>
                </c:pt>
                <c:pt idx="357">
                  <c:v>5.838</c:v>
                </c:pt>
                <c:pt idx="358">
                  <c:v>5.928</c:v>
                </c:pt>
                <c:pt idx="359">
                  <c:v>-3.607</c:v>
                </c:pt>
                <c:pt idx="360">
                  <c:v>-1.748</c:v>
                </c:pt>
                <c:pt idx="361">
                  <c:v>6.384</c:v>
                </c:pt>
                <c:pt idx="362">
                  <c:v>6.463</c:v>
                </c:pt>
                <c:pt idx="363">
                  <c:v>6.491</c:v>
                </c:pt>
                <c:pt idx="364">
                  <c:v>6.491</c:v>
                </c:pt>
                <c:pt idx="365">
                  <c:v>6.458</c:v>
                </c:pt>
                <c:pt idx="366">
                  <c:v>0,153</c:v>
                </c:pt>
                <c:pt idx="367">
                  <c:v>0,715</c:v>
                </c:pt>
                <c:pt idx="368">
                  <c:v>1.112</c:v>
                </c:pt>
                <c:pt idx="369">
                  <c:v>1.502</c:v>
                </c:pt>
                <c:pt idx="370">
                  <c:v>1.851</c:v>
                </c:pt>
                <c:pt idx="371">
                  <c:v>2.431</c:v>
                </c:pt>
                <c:pt idx="372">
                  <c:v>2.978</c:v>
                </c:pt>
                <c:pt idx="373">
                  <c:v>3.277</c:v>
                </c:pt>
                <c:pt idx="374">
                  <c:v>3.584</c:v>
                </c:pt>
                <c:pt idx="375">
                  <c:v>4.883</c:v>
                </c:pt>
                <c:pt idx="376">
                  <c:v>4.883</c:v>
                </c:pt>
                <c:pt idx="377">
                  <c:v>-7.289</c:v>
                </c:pt>
                <c:pt idx="378">
                  <c:v>-7.289</c:v>
                </c:pt>
                <c:pt idx="379">
                  <c:v>0,006</c:v>
                </c:pt>
                <c:pt idx="380">
                  <c:v>0,495</c:v>
                </c:pt>
                <c:pt idx="381">
                  <c:v>0,992</c:v>
                </c:pt>
                <c:pt idx="382">
                  <c:v>1.483</c:v>
                </c:pt>
                <c:pt idx="383">
                  <c:v>1.966</c:v>
                </c:pt>
                <c:pt idx="384">
                  <c:v>2.440</c:v>
                </c:pt>
                <c:pt idx="385">
                  <c:v>2.882</c:v>
                </c:pt>
                <c:pt idx="386">
                  <c:v>3.571</c:v>
                </c:pt>
                <c:pt idx="387">
                  <c:v>4.221</c:v>
                </c:pt>
                <c:pt idx="388">
                  <c:v>4.599</c:v>
                </c:pt>
                <c:pt idx="389">
                  <c:v>4.974</c:v>
                </c:pt>
                <c:pt idx="390">
                  <c:v>5.326</c:v>
                </c:pt>
                <c:pt idx="391">
                  <c:v>5.653</c:v>
                </c:pt>
                <c:pt idx="392">
                  <c:v>5.953</c:v>
                </c:pt>
                <c:pt idx="393">
                  <c:v>6.226</c:v>
                </c:pt>
                <c:pt idx="394">
                  <c:v>6.470</c:v>
                </c:pt>
                <c:pt idx="395">
                  <c:v>6.674</c:v>
                </c:pt>
                <c:pt idx="396">
                  <c:v>6.952</c:v>
                </c:pt>
                <c:pt idx="397">
                  <c:v>7.080</c:v>
                </c:pt>
                <c:pt idx="398">
                  <c:v>7.181</c:v>
                </c:pt>
                <c:pt idx="399">
                  <c:v>7.249</c:v>
                </c:pt>
                <c:pt idx="400">
                  <c:v>7.283</c:v>
                </c:pt>
                <c:pt idx="401">
                  <c:v>7.283</c:v>
                </c:pt>
                <c:pt idx="402">
                  <c:v>7.249</c:v>
                </c:pt>
                <c:pt idx="403">
                  <c:v>7.181</c:v>
                </c:pt>
                <c:pt idx="404">
                  <c:v>7.085</c:v>
                </c:pt>
                <c:pt idx="405">
                  <c:v>6.858</c:v>
                </c:pt>
                <c:pt idx="406">
                  <c:v>6.684</c:v>
                </c:pt>
                <c:pt idx="407">
                  <c:v>6.480</c:v>
                </c:pt>
                <c:pt idx="408">
                  <c:v>6.092</c:v>
                </c:pt>
                <c:pt idx="409">
                  <c:v>5.651</c:v>
                </c:pt>
                <c:pt idx="410">
                  <c:v>5.151</c:v>
                </c:pt>
                <c:pt idx="411">
                  <c:v>4.598</c:v>
                </c:pt>
                <c:pt idx="412">
                  <c:v>3.996</c:v>
                </c:pt>
                <c:pt idx="413">
                  <c:v>3.352</c:v>
                </c:pt>
                <c:pt idx="414">
                  <c:v>2.673</c:v>
                </c:pt>
                <c:pt idx="415">
                  <c:v>1.966</c:v>
                </c:pt>
                <c:pt idx="416">
                  <c:v>1.215</c:v>
                </c:pt>
                <c:pt idx="417">
                  <c:v>0,745</c:v>
                </c:pt>
                <c:pt idx="418">
                  <c:v>0,248</c:v>
                </c:pt>
                <c:pt idx="419">
                  <c:v>-7.169</c:v>
                </c:pt>
                <c:pt idx="420">
                  <c:v>-8.584</c:v>
                </c:pt>
                <c:pt idx="421">
                  <c:v>-8.584</c:v>
                </c:pt>
                <c:pt idx="422">
                  <c:v>0,029</c:v>
                </c:pt>
                <c:pt idx="423">
                  <c:v>0,585</c:v>
                </c:pt>
                <c:pt idx="424">
                  <c:v>1.169</c:v>
                </c:pt>
                <c:pt idx="425">
                  <c:v>1.746</c:v>
                </c:pt>
                <c:pt idx="426">
                  <c:v>2.316</c:v>
                </c:pt>
                <c:pt idx="427">
                  <c:v>2.874</c:v>
                </c:pt>
                <c:pt idx="428">
                  <c:v>3.408</c:v>
                </c:pt>
                <c:pt idx="429">
                  <c:v>4.206</c:v>
                </c:pt>
                <c:pt idx="430">
                  <c:v>4.960</c:v>
                </c:pt>
                <c:pt idx="431">
                  <c:v>5.417</c:v>
                </c:pt>
                <c:pt idx="432">
                  <c:v>5.859</c:v>
                </c:pt>
                <c:pt idx="433">
                  <c:v>6.273</c:v>
                </c:pt>
                <c:pt idx="434">
                  <c:v>6.658</c:v>
                </c:pt>
                <c:pt idx="435">
                  <c:v>7.013</c:v>
                </c:pt>
                <c:pt idx="436">
                  <c:v>7.334</c:v>
                </c:pt>
                <c:pt idx="437">
                  <c:v>7.621</c:v>
                </c:pt>
                <c:pt idx="438">
                  <c:v>7.868</c:v>
                </c:pt>
                <c:pt idx="439">
                  <c:v>8.185</c:v>
                </c:pt>
                <c:pt idx="440">
                  <c:v>8.339</c:v>
                </c:pt>
                <c:pt idx="441">
                  <c:v>8.459</c:v>
                </c:pt>
                <c:pt idx="442">
                  <c:v>8.539</c:v>
                </c:pt>
                <c:pt idx="443">
                  <c:v>8.579</c:v>
                </c:pt>
                <c:pt idx="444">
                  <c:v>8.579</c:v>
                </c:pt>
                <c:pt idx="445">
                  <c:v>8.539</c:v>
                </c:pt>
                <c:pt idx="446">
                  <c:v>8.459</c:v>
                </c:pt>
                <c:pt idx="447">
                  <c:v>8.342</c:v>
                </c:pt>
                <c:pt idx="448">
                  <c:v>8.084</c:v>
                </c:pt>
                <c:pt idx="449">
                  <c:v>7.873</c:v>
                </c:pt>
                <c:pt idx="450">
                  <c:v>7.626</c:v>
                </c:pt>
                <c:pt idx="451">
                  <c:v>7.177</c:v>
                </c:pt>
                <c:pt idx="452">
                  <c:v>6.658</c:v>
                </c:pt>
                <c:pt idx="453">
                  <c:v>6.069</c:v>
                </c:pt>
                <c:pt idx="454">
                  <c:v>5.416</c:v>
                </c:pt>
                <c:pt idx="455">
                  <c:v>4.707</c:v>
                </c:pt>
                <c:pt idx="456">
                  <c:v>3.949</c:v>
                </c:pt>
                <c:pt idx="457">
                  <c:v>3.149</c:v>
                </c:pt>
                <c:pt idx="458">
                  <c:v>2.316</c:v>
                </c:pt>
                <c:pt idx="459">
                  <c:v>1.446</c:v>
                </c:pt>
                <c:pt idx="460">
                  <c:v>0,878</c:v>
                </c:pt>
                <c:pt idx="461">
                  <c:v>0,293</c:v>
                </c:pt>
                <c:pt idx="462">
                  <c:v>-8.464</c:v>
                </c:pt>
                <c:pt idx="463">
                  <c:v>-9.600</c:v>
                </c:pt>
                <c:pt idx="464">
                  <c:v>-9.600</c:v>
                </c:pt>
                <c:pt idx="465">
                  <c:v>0,047</c:v>
                </c:pt>
                <c:pt idx="466">
                  <c:v>0,655</c:v>
                </c:pt>
                <c:pt idx="467">
                  <c:v>1.307</c:v>
                </c:pt>
                <c:pt idx="468">
                  <c:v>1.953</c:v>
                </c:pt>
                <c:pt idx="469">
                  <c:v>2.590</c:v>
                </c:pt>
                <c:pt idx="470">
                  <c:v>3.215</c:v>
                </c:pt>
                <c:pt idx="471">
                  <c:v>3.821</c:v>
                </c:pt>
                <c:pt idx="472">
                  <c:v>4.705</c:v>
                </c:pt>
                <c:pt idx="473">
                  <c:v>5.539</c:v>
                </c:pt>
                <c:pt idx="474">
                  <c:v>6.058</c:v>
                </c:pt>
                <c:pt idx="475">
                  <c:v>6.552</c:v>
                </c:pt>
                <c:pt idx="476">
                  <c:v>7.016</c:v>
                </c:pt>
                <c:pt idx="477">
                  <c:v>7.447</c:v>
                </c:pt>
                <c:pt idx="478">
                  <c:v>7.843</c:v>
                </c:pt>
                <c:pt idx="479">
                  <c:v>8.202</c:v>
                </c:pt>
                <c:pt idx="480">
                  <c:v>8.523</c:v>
                </c:pt>
                <c:pt idx="481">
                  <c:v>8.804</c:v>
                </c:pt>
                <c:pt idx="482">
                  <c:v>9.151</c:v>
                </c:pt>
                <c:pt idx="483">
                  <c:v>9.327</c:v>
                </c:pt>
                <c:pt idx="484">
                  <c:v>9.460</c:v>
                </c:pt>
                <c:pt idx="485">
                  <c:v>9.549</c:v>
                </c:pt>
                <c:pt idx="486">
                  <c:v>9.594</c:v>
                </c:pt>
                <c:pt idx="487">
                  <c:v>9.594</c:v>
                </c:pt>
                <c:pt idx="488">
                  <c:v>9.549</c:v>
                </c:pt>
                <c:pt idx="489">
                  <c:v>9.460</c:v>
                </c:pt>
                <c:pt idx="490">
                  <c:v>9.328</c:v>
                </c:pt>
                <c:pt idx="491">
                  <c:v>9.044</c:v>
                </c:pt>
                <c:pt idx="492">
                  <c:v>8.805</c:v>
                </c:pt>
                <c:pt idx="493">
                  <c:v>8.525</c:v>
                </c:pt>
                <c:pt idx="494">
                  <c:v>8.027</c:v>
                </c:pt>
                <c:pt idx="495">
                  <c:v>7.446</c:v>
                </c:pt>
                <c:pt idx="496">
                  <c:v>6.788</c:v>
                </c:pt>
                <c:pt idx="497">
                  <c:v>6.058</c:v>
                </c:pt>
                <c:pt idx="498">
                  <c:v>5.265</c:v>
                </c:pt>
                <c:pt idx="499">
                  <c:v>4.416</c:v>
                </c:pt>
                <c:pt idx="500">
                  <c:v>3.522</c:v>
                </c:pt>
                <c:pt idx="501">
                  <c:v>2.590</c:v>
                </c:pt>
                <c:pt idx="502">
                  <c:v>1.628</c:v>
                </c:pt>
                <c:pt idx="503">
                  <c:v>0,982</c:v>
                </c:pt>
                <c:pt idx="504">
                  <c:v>0,328</c:v>
                </c:pt>
                <c:pt idx="505">
                  <c:v>-9.480</c:v>
                </c:pt>
                <c:pt idx="506">
                  <c:v>-9.201</c:v>
                </c:pt>
                <c:pt idx="507">
                  <c:v>3.729</c:v>
                </c:pt>
                <c:pt idx="508">
                  <c:v>4.739</c:v>
                </c:pt>
                <c:pt idx="509">
                  <c:v>5.149</c:v>
                </c:pt>
                <c:pt idx="510">
                  <c:v>5.511</c:v>
                </c:pt>
                <c:pt idx="511">
                  <c:v>5.838</c:v>
                </c:pt>
                <c:pt idx="512">
                  <c:v>5.999</c:v>
                </c:pt>
                <c:pt idx="513">
                  <c:v>6.136</c:v>
                </c:pt>
                <c:pt idx="514">
                  <c:v>6.331</c:v>
                </c:pt>
                <c:pt idx="515">
                  <c:v>6.408</c:v>
                </c:pt>
                <c:pt idx="516">
                  <c:v>6.457</c:v>
                </c:pt>
                <c:pt idx="517">
                  <c:v>0,151</c:v>
                </c:pt>
                <c:pt idx="518">
                  <c:v>#¡CAMPO!</c:v>
                </c:pt>
                <c:pt idx="519">
                  <c:v>-1.743</c:v>
                </c:pt>
                <c:pt idx="520">
                  <c:v>6.384</c:v>
                </c:pt>
                <c:pt idx="521">
                  <c:v>6.223</c:v>
                </c:pt>
                <c:pt idx="522">
                  <c:v>5.928</c:v>
                </c:pt>
                <c:pt idx="523">
                  <c:v>-3.603</c:v>
                </c:pt>
                <c:pt idx="524">
                  <c:v>-5.464</c:v>
                </c:pt>
                <c:pt idx="525">
                  <c:v>5.222</c:v>
                </c:pt>
                <c:pt idx="526">
                  <c:v>4.882</c:v>
                </c:pt>
                <c:pt idx="527">
                  <c:v>4.593</c:v>
                </c:pt>
                <c:pt idx="528">
                  <c:v>4.305</c:v>
                </c:pt>
                <c:pt idx="529">
                  <c:v>-6.497</c:v>
                </c:pt>
                <c:pt idx="530">
                  <c:v>-6.497</c:v>
                </c:pt>
                <c:pt idx="531">
                  <c:v>3.169</c:v>
                </c:pt>
                <c:pt idx="532">
                  <c:v>2.859</c:v>
                </c:pt>
                <c:pt idx="533">
                  <c:v>2.510</c:v>
                </c:pt>
                <c:pt idx="534">
                  <c:v>1.802</c:v>
                </c:pt>
                <c:pt idx="535">
                  <c:v>-6.497</c:v>
                </c:pt>
                <c:pt idx="536">
                  <c:v>-6.497</c:v>
                </c:pt>
                <c:pt idx="537">
                  <c:v>0.089</c:v>
                </c:pt>
                <c:pt idx="538">
                  <c:v>-1.771</c:v>
                </c:pt>
                <c:pt idx="539">
                  <c:v>-6.497</c:v>
                </c:pt>
                <c:pt idx="540">
                  <c:v>-6.497</c:v>
                </c:pt>
                <c:pt idx="541">
                  <c:v>-3.630</c:v>
                </c:pt>
                <c:pt idx="542">
                  <c:v>-5.489</c:v>
                </c:pt>
                <c:pt idx="543">
                  <c:v>-6.497</c:v>
                </c:pt>
                <c:pt idx="544">
                  <c:v>-6.497</c:v>
                </c:pt>
                <c:pt idx="545">
                  <c:v>-7.289</c:v>
                </c:pt>
                <c:pt idx="546">
                  <c:v>-7.289</c:v>
                </c:pt>
                <c:pt idx="547">
                  <c:v>0.026</c:v>
                </c:pt>
                <c:pt idx="548">
                  <c:v>0.494</c:v>
                </c:pt>
                <c:pt idx="549">
                  <c:v>0.992</c:v>
                </c:pt>
                <c:pt idx="550">
                  <c:v>1.483</c:v>
                </c:pt>
                <c:pt idx="551">
                  <c:v>1.966</c:v>
                </c:pt>
                <c:pt idx="552">
                  <c:v>2.454</c:v>
                </c:pt>
                <c:pt idx="553">
                  <c:v>3.127</c:v>
                </c:pt>
                <c:pt idx="554">
                  <c:v>3.551</c:v>
                </c:pt>
                <c:pt idx="555">
                  <c:v>4.221</c:v>
                </c:pt>
                <c:pt idx="556">
                  <c:v>4.599</c:v>
                </c:pt>
                <c:pt idx="557">
                  <c:v>4.974</c:v>
                </c:pt>
                <c:pt idx="558">
                  <c:v>5.326</c:v>
                </c:pt>
                <c:pt idx="559">
                  <c:v>5.653</c:v>
                </c:pt>
                <c:pt idx="560">
                  <c:v>5.953</c:v>
                </c:pt>
                <c:pt idx="561">
                  <c:v>6.226</c:v>
                </c:pt>
                <c:pt idx="562">
                  <c:v>6.470</c:v>
                </c:pt>
                <c:pt idx="563">
                  <c:v>6.674</c:v>
                </c:pt>
                <c:pt idx="564">
                  <c:v>6.952</c:v>
                </c:pt>
                <c:pt idx="565">
                  <c:v>7.080</c:v>
                </c:pt>
                <c:pt idx="566">
                  <c:v>7.181</c:v>
                </c:pt>
                <c:pt idx="567">
                  <c:v>7.249</c:v>
                </c:pt>
                <c:pt idx="568">
                  <c:v>7.283</c:v>
                </c:pt>
                <c:pt idx="569">
                  <c:v>7.283</c:v>
                </c:pt>
                <c:pt idx="570">
                  <c:v>7.249</c:v>
                </c:pt>
                <c:pt idx="571">
                  <c:v>7.181</c:v>
                </c:pt>
                <c:pt idx="572">
                  <c:v>7.085</c:v>
                </c:pt>
                <c:pt idx="573">
                  <c:v>6.858</c:v>
                </c:pt>
                <c:pt idx="574">
                  <c:v>6.684</c:v>
                </c:pt>
                <c:pt idx="575">
                  <c:v>6.480</c:v>
                </c:pt>
                <c:pt idx="576">
                  <c:v>6.092</c:v>
                </c:pt>
                <c:pt idx="577">
                  <c:v>5.651</c:v>
                </c:pt>
                <c:pt idx="578">
                  <c:v>5.151</c:v>
                </c:pt>
                <c:pt idx="579">
                  <c:v>4.598</c:v>
                </c:pt>
                <c:pt idx="580">
                  <c:v>3.996</c:v>
                </c:pt>
                <c:pt idx="581">
                  <c:v>3.352</c:v>
                </c:pt>
                <c:pt idx="582">
                  <c:v>2.673</c:v>
                </c:pt>
                <c:pt idx="583">
                  <c:v>1.966</c:v>
                </c:pt>
                <c:pt idx="584">
                  <c:v>1.215</c:v>
                </c:pt>
                <c:pt idx="585">
                  <c:v>0.745</c:v>
                </c:pt>
                <c:pt idx="586">
                  <c:v>0.248</c:v>
                </c:pt>
                <c:pt idx="587">
                  <c:v>-7.169</c:v>
                </c:pt>
                <c:pt idx="588">
                  <c:v>-8.584</c:v>
                </c:pt>
                <c:pt idx="589">
                  <c:v>-8.584</c:v>
                </c:pt>
                <c:pt idx="590">
                  <c:v>0.049</c:v>
                </c:pt>
                <c:pt idx="591">
                  <c:v>0.584</c:v>
                </c:pt>
                <c:pt idx="592">
                  <c:v>1.169</c:v>
                </c:pt>
                <c:pt idx="593">
                  <c:v>1.746</c:v>
                </c:pt>
                <c:pt idx="594">
                  <c:v>2.316</c:v>
                </c:pt>
                <c:pt idx="595">
                  <c:v>2.882</c:v>
                </c:pt>
                <c:pt idx="596">
                  <c:v>3.685</c:v>
                </c:pt>
                <c:pt idx="597">
                  <c:v>4.196</c:v>
                </c:pt>
                <c:pt idx="598">
                  <c:v>4.960</c:v>
                </c:pt>
                <c:pt idx="599">
                  <c:v>5.417</c:v>
                </c:pt>
                <c:pt idx="600">
                  <c:v>5.859</c:v>
                </c:pt>
                <c:pt idx="601">
                  <c:v>6.273</c:v>
                </c:pt>
                <c:pt idx="602">
                  <c:v>6.658</c:v>
                </c:pt>
                <c:pt idx="603">
                  <c:v>7.013</c:v>
                </c:pt>
                <c:pt idx="604">
                  <c:v>7.334</c:v>
                </c:pt>
                <c:pt idx="605">
                  <c:v>7.621</c:v>
                </c:pt>
                <c:pt idx="606">
                  <c:v>7.868</c:v>
                </c:pt>
                <c:pt idx="607">
                  <c:v>8.185</c:v>
                </c:pt>
                <c:pt idx="608">
                  <c:v>8.339</c:v>
                </c:pt>
                <c:pt idx="609">
                  <c:v>8.459</c:v>
                </c:pt>
                <c:pt idx="610">
                  <c:v>8.539</c:v>
                </c:pt>
                <c:pt idx="611">
                  <c:v>8.579</c:v>
                </c:pt>
                <c:pt idx="612">
                  <c:v>8.579</c:v>
                </c:pt>
                <c:pt idx="613">
                  <c:v>8.539</c:v>
                </c:pt>
                <c:pt idx="614">
                  <c:v>8.459</c:v>
                </c:pt>
                <c:pt idx="615">
                  <c:v>8.342</c:v>
                </c:pt>
                <c:pt idx="616">
                  <c:v>8.084</c:v>
                </c:pt>
                <c:pt idx="617">
                  <c:v>7.873</c:v>
                </c:pt>
                <c:pt idx="618">
                  <c:v>7.626</c:v>
                </c:pt>
                <c:pt idx="619">
                  <c:v>7.177</c:v>
                </c:pt>
                <c:pt idx="620">
                  <c:v>6.658</c:v>
                </c:pt>
                <c:pt idx="621">
                  <c:v>6.069</c:v>
                </c:pt>
                <c:pt idx="622">
                  <c:v>5.416</c:v>
                </c:pt>
                <c:pt idx="623">
                  <c:v>4.707</c:v>
                </c:pt>
                <c:pt idx="624">
                  <c:v>3.949</c:v>
                </c:pt>
                <c:pt idx="625">
                  <c:v>3.149</c:v>
                </c:pt>
                <c:pt idx="626">
                  <c:v>2.316</c:v>
                </c:pt>
                <c:pt idx="627">
                  <c:v>1.446</c:v>
                </c:pt>
                <c:pt idx="628">
                  <c:v>0.878</c:v>
                </c:pt>
                <c:pt idx="629">
                  <c:v>0.293</c:v>
                </c:pt>
                <c:pt idx="630">
                  <c:v>-8.464</c:v>
                </c:pt>
                <c:pt idx="631">
                  <c:v>-9.600</c:v>
                </c:pt>
                <c:pt idx="632">
                  <c:v>-9.600</c:v>
                </c:pt>
                <c:pt idx="633">
                  <c:v>0.068</c:v>
                </c:pt>
                <c:pt idx="634">
                  <c:v>0.655</c:v>
                </c:pt>
                <c:pt idx="635">
                  <c:v>1.307</c:v>
                </c:pt>
                <c:pt idx="636">
                  <c:v>1.953</c:v>
                </c:pt>
                <c:pt idx="637">
                  <c:v>2.590</c:v>
                </c:pt>
                <c:pt idx="638">
                  <c:v>3.217</c:v>
                </c:pt>
                <c:pt idx="639">
                  <c:v>4.123</c:v>
                </c:pt>
                <c:pt idx="640">
                  <c:v>4.702</c:v>
                </c:pt>
                <c:pt idx="641">
                  <c:v>5.539</c:v>
                </c:pt>
                <c:pt idx="642">
                  <c:v>6.058</c:v>
                </c:pt>
                <c:pt idx="643">
                  <c:v>6.552</c:v>
                </c:pt>
                <c:pt idx="644">
                  <c:v>7.016</c:v>
                </c:pt>
                <c:pt idx="645">
                  <c:v>7.447</c:v>
                </c:pt>
                <c:pt idx="646">
                  <c:v>7.843</c:v>
                </c:pt>
                <c:pt idx="647">
                  <c:v>8.202</c:v>
                </c:pt>
                <c:pt idx="648">
                  <c:v>8.523</c:v>
                </c:pt>
                <c:pt idx="649">
                  <c:v>8.804</c:v>
                </c:pt>
                <c:pt idx="650">
                  <c:v>9.151</c:v>
                </c:pt>
                <c:pt idx="651">
                  <c:v>9.327</c:v>
                </c:pt>
                <c:pt idx="652">
                  <c:v>9.460</c:v>
                </c:pt>
                <c:pt idx="653">
                  <c:v>9.549</c:v>
                </c:pt>
                <c:pt idx="654">
                  <c:v>9.594</c:v>
                </c:pt>
                <c:pt idx="655">
                  <c:v>9.594</c:v>
                </c:pt>
                <c:pt idx="656">
                  <c:v>9.549</c:v>
                </c:pt>
                <c:pt idx="657">
                  <c:v>9.460</c:v>
                </c:pt>
                <c:pt idx="658">
                  <c:v>9.328</c:v>
                </c:pt>
                <c:pt idx="659">
                  <c:v>9.044</c:v>
                </c:pt>
                <c:pt idx="660">
                  <c:v>8.805</c:v>
                </c:pt>
                <c:pt idx="661">
                  <c:v>8.525</c:v>
                </c:pt>
                <c:pt idx="662">
                  <c:v>8.027</c:v>
                </c:pt>
                <c:pt idx="663">
                  <c:v>7.446</c:v>
                </c:pt>
                <c:pt idx="664">
                  <c:v>6.788</c:v>
                </c:pt>
                <c:pt idx="665">
                  <c:v>6.058</c:v>
                </c:pt>
                <c:pt idx="666">
                  <c:v>5.265</c:v>
                </c:pt>
                <c:pt idx="667">
                  <c:v>4.416</c:v>
                </c:pt>
                <c:pt idx="668">
                  <c:v>3.522</c:v>
                </c:pt>
                <c:pt idx="669">
                  <c:v>2.590</c:v>
                </c:pt>
                <c:pt idx="670">
                  <c:v>1.628</c:v>
                </c:pt>
                <c:pt idx="671">
                  <c:v>0.982</c:v>
                </c:pt>
                <c:pt idx="672">
                  <c:v>0.328</c:v>
                </c:pt>
                <c:pt idx="673">
                  <c:v>-9.480</c:v>
                </c:pt>
                <c:pt idx="674">
                  <c:v>-9.201</c:v>
                </c:pt>
                <c:pt idx="675">
                  <c:v>-1.765</c:v>
                </c:pt>
                <c:pt idx="676">
                  <c:v>1.712</c:v>
                </c:pt>
                <c:pt idx="677">
                  <c:v>3.522</c:v>
                </c:pt>
                <c:pt idx="678">
                  <c:v>3.920</c:v>
                </c:pt>
                <c:pt idx="679">
                  <c:v>4.270</c:v>
                </c:pt>
                <c:pt idx="680">
                  <c:v>4.588</c:v>
                </c:pt>
                <c:pt idx="681">
                  <c:v>4.743</c:v>
                </c:pt>
                <c:pt idx="682">
                  <c:v>4.875</c:v>
                </c:pt>
                <c:pt idx="683">
                  <c:v>5.065</c:v>
                </c:pt>
                <c:pt idx="684">
                  <c:v>5.139</c:v>
                </c:pt>
                <c:pt idx="685">
                  <c:v>5.193</c:v>
                </c:pt>
                <c:pt idx="686">
                  <c:v>5.220</c:v>
                </c:pt>
                <c:pt idx="687">
                  <c:v>5.220</c:v>
                </c:pt>
                <c:pt idx="688">
                  <c:v>5.193</c:v>
                </c:pt>
                <c:pt idx="689">
                  <c:v>5.139</c:v>
                </c:pt>
                <c:pt idx="690">
                  <c:v>5.058</c:v>
                </c:pt>
                <c:pt idx="691">
                  <c:v>4.961</c:v>
                </c:pt>
                <c:pt idx="692">
                  <c:v>4.727</c:v>
                </c:pt>
                <c:pt idx="693">
                  <c:v>4.573</c:v>
                </c:pt>
                <c:pt idx="694">
                  <c:v>4.379</c:v>
                </c:pt>
                <c:pt idx="695">
                  <c:v>4.161</c:v>
                </c:pt>
                <c:pt idx="696">
                  <c:v>3.922</c:v>
                </c:pt>
                <c:pt idx="697">
                  <c:v>3.662</c:v>
                </c:pt>
                <c:pt idx="698">
                  <c:v>3.382</c:v>
                </c:pt>
                <c:pt idx="699">
                  <c:v>3.083</c:v>
                </c:pt>
                <c:pt idx="700">
                  <c:v>2.796</c:v>
                </c:pt>
                <c:pt idx="701">
                  <c:v>2.233</c:v>
                </c:pt>
                <c:pt idx="702">
                  <c:v>1.596</c:v>
                </c:pt>
                <c:pt idx="703">
                  <c:v>0.973</c:v>
                </c:pt>
                <c:pt idx="704">
                  <c:v>0.602</c:v>
                </c:pt>
                <c:pt idx="705">
                  <c:v>0.212</c:v>
                </c:pt>
                <c:pt idx="706">
                  <c:v>#¡CAMPO!</c:v>
                </c:pt>
                <c:pt idx="707">
                  <c:v>#¡CAMPO!</c:v>
                </c:pt>
                <c:pt idx="708">
                  <c:v>-6.380</c:v>
                </c:pt>
                <c:pt idx="709">
                  <c:v>4.677</c:v>
                </c:pt>
                <c:pt idx="710">
                  <c:v>4.677</c:v>
                </c:pt>
                <c:pt idx="711">
                  <c:v>-7.289</c:v>
                </c:pt>
                <c:pt idx="712">
                  <c:v>-7.289</c:v>
                </c:pt>
                <c:pt idx="713">
                  <c:v>0.045</c:v>
                </c:pt>
                <c:pt idx="714">
                  <c:v>0.494</c:v>
                </c:pt>
                <c:pt idx="715">
                  <c:v>0.992</c:v>
                </c:pt>
                <c:pt idx="716">
                  <c:v>1.483</c:v>
                </c:pt>
                <c:pt idx="717">
                  <c:v>1.966</c:v>
                </c:pt>
                <c:pt idx="718">
                  <c:v>2.453</c:v>
                </c:pt>
                <c:pt idx="719">
                  <c:v>3.126</c:v>
                </c:pt>
                <c:pt idx="720">
                  <c:v>3.551</c:v>
                </c:pt>
                <c:pt idx="721">
                  <c:v>4.221</c:v>
                </c:pt>
                <c:pt idx="722">
                  <c:v>4.599</c:v>
                </c:pt>
                <c:pt idx="723">
                  <c:v>4.974</c:v>
                </c:pt>
                <c:pt idx="724">
                  <c:v>5.326</c:v>
                </c:pt>
                <c:pt idx="725">
                  <c:v>5.653</c:v>
                </c:pt>
                <c:pt idx="726">
                  <c:v>5.953</c:v>
                </c:pt>
                <c:pt idx="727">
                  <c:v>6.226</c:v>
                </c:pt>
                <c:pt idx="728">
                  <c:v>6.470</c:v>
                </c:pt>
                <c:pt idx="729">
                  <c:v>6.684</c:v>
                </c:pt>
                <c:pt idx="730">
                  <c:v>6.871</c:v>
                </c:pt>
                <c:pt idx="731">
                  <c:v>7.079</c:v>
                </c:pt>
                <c:pt idx="732">
                  <c:v>7.181</c:v>
                </c:pt>
                <c:pt idx="733">
                  <c:v>7.249</c:v>
                </c:pt>
                <c:pt idx="734">
                  <c:v>7.283</c:v>
                </c:pt>
                <c:pt idx="735">
                  <c:v>7.283</c:v>
                </c:pt>
                <c:pt idx="736">
                  <c:v>7.249</c:v>
                </c:pt>
                <c:pt idx="737">
                  <c:v>7.181</c:v>
                </c:pt>
                <c:pt idx="738">
                  <c:v>7.085</c:v>
                </c:pt>
                <c:pt idx="739">
                  <c:v>6.858</c:v>
                </c:pt>
                <c:pt idx="740">
                  <c:v>6.684</c:v>
                </c:pt>
                <c:pt idx="741">
                  <c:v>6.480</c:v>
                </c:pt>
                <c:pt idx="742">
                  <c:v>6.092</c:v>
                </c:pt>
                <c:pt idx="743">
                  <c:v>5.651</c:v>
                </c:pt>
                <c:pt idx="744">
                  <c:v>5.151</c:v>
                </c:pt>
                <c:pt idx="745">
                  <c:v>4.598</c:v>
                </c:pt>
                <c:pt idx="746">
                  <c:v>3.996</c:v>
                </c:pt>
                <c:pt idx="747">
                  <c:v>3.352</c:v>
                </c:pt>
                <c:pt idx="748">
                  <c:v>2.673</c:v>
                </c:pt>
                <c:pt idx="749">
                  <c:v>1.944</c:v>
                </c:pt>
                <c:pt idx="750">
                  <c:v>1.180</c:v>
                </c:pt>
                <c:pt idx="751">
                  <c:v>0.749</c:v>
                </c:pt>
                <c:pt idx="752">
                  <c:v>0.248</c:v>
                </c:pt>
                <c:pt idx="753">
                  <c:v>-7.169</c:v>
                </c:pt>
                <c:pt idx="754">
                  <c:v>-8.584</c:v>
                </c:pt>
                <c:pt idx="755">
                  <c:v>-8.584</c:v>
                </c:pt>
                <c:pt idx="756">
                  <c:v>0.069</c:v>
                </c:pt>
                <c:pt idx="757">
                  <c:v>0.584</c:v>
                </c:pt>
                <c:pt idx="758">
                  <c:v>1.169</c:v>
                </c:pt>
                <c:pt idx="759">
                  <c:v>1.746</c:v>
                </c:pt>
                <c:pt idx="760">
                  <c:v>2.316</c:v>
                </c:pt>
                <c:pt idx="761">
                  <c:v>2.881</c:v>
                </c:pt>
                <c:pt idx="762">
                  <c:v>3.685</c:v>
                </c:pt>
                <c:pt idx="763">
                  <c:v>4.196</c:v>
                </c:pt>
                <c:pt idx="764">
                  <c:v>4.960</c:v>
                </c:pt>
                <c:pt idx="765">
                  <c:v>5.417</c:v>
                </c:pt>
                <c:pt idx="766">
                  <c:v>5.859</c:v>
                </c:pt>
                <c:pt idx="767">
                  <c:v>6.273</c:v>
                </c:pt>
                <c:pt idx="768">
                  <c:v>6.658</c:v>
                </c:pt>
                <c:pt idx="769">
                  <c:v>7.013</c:v>
                </c:pt>
                <c:pt idx="770">
                  <c:v>7.334</c:v>
                </c:pt>
                <c:pt idx="771">
                  <c:v>7.621</c:v>
                </c:pt>
                <c:pt idx="772">
                  <c:v>7.873</c:v>
                </c:pt>
                <c:pt idx="773">
                  <c:v>8.090</c:v>
                </c:pt>
                <c:pt idx="774">
                  <c:v>8.339</c:v>
                </c:pt>
                <c:pt idx="775">
                  <c:v>8.459</c:v>
                </c:pt>
                <c:pt idx="776">
                  <c:v>8.539</c:v>
                </c:pt>
                <c:pt idx="777">
                  <c:v>8.579</c:v>
                </c:pt>
                <c:pt idx="778">
                  <c:v>8.579</c:v>
                </c:pt>
                <c:pt idx="779">
                  <c:v>8.539</c:v>
                </c:pt>
                <c:pt idx="780">
                  <c:v>8.459</c:v>
                </c:pt>
                <c:pt idx="781">
                  <c:v>8.342</c:v>
                </c:pt>
                <c:pt idx="782">
                  <c:v>8.084</c:v>
                </c:pt>
                <c:pt idx="783">
                  <c:v>7.873</c:v>
                </c:pt>
                <c:pt idx="784">
                  <c:v>7.626</c:v>
                </c:pt>
                <c:pt idx="785">
                  <c:v>7.177</c:v>
                </c:pt>
                <c:pt idx="786">
                  <c:v>6.658</c:v>
                </c:pt>
                <c:pt idx="787">
                  <c:v>6.069</c:v>
                </c:pt>
                <c:pt idx="788">
                  <c:v>5.416</c:v>
                </c:pt>
                <c:pt idx="789">
                  <c:v>4.707</c:v>
                </c:pt>
                <c:pt idx="790">
                  <c:v>3.949</c:v>
                </c:pt>
                <c:pt idx="791">
                  <c:v>3.149</c:v>
                </c:pt>
                <c:pt idx="792">
                  <c:v>2.304</c:v>
                </c:pt>
                <c:pt idx="793">
                  <c:v>1.740</c:v>
                </c:pt>
                <c:pt idx="794">
                  <c:v>1.383</c:v>
                </c:pt>
                <c:pt idx="795">
                  <c:v>0.88</c:v>
                </c:pt>
                <c:pt idx="796">
                  <c:v>0.293</c:v>
                </c:pt>
                <c:pt idx="797">
                  <c:v>-8.464</c:v>
                </c:pt>
                <c:pt idx="798">
                  <c:v>-9.600</c:v>
                </c:pt>
                <c:pt idx="799">
                  <c:v>-9.600</c:v>
                </c:pt>
                <c:pt idx="800">
                  <c:v>0.088</c:v>
                </c:pt>
                <c:pt idx="801">
                  <c:v>0.655</c:v>
                </c:pt>
                <c:pt idx="802">
                  <c:v>1.307</c:v>
                </c:pt>
                <c:pt idx="803">
                  <c:v>1.953</c:v>
                </c:pt>
                <c:pt idx="804">
                  <c:v>2.590</c:v>
                </c:pt>
                <c:pt idx="805">
                  <c:v>3.217</c:v>
                </c:pt>
                <c:pt idx="806">
                  <c:v>4.122</c:v>
                </c:pt>
                <c:pt idx="807">
                  <c:v>4.702</c:v>
                </c:pt>
                <c:pt idx="808">
                  <c:v>5.539</c:v>
                </c:pt>
                <c:pt idx="809">
                  <c:v>6.058</c:v>
                </c:pt>
                <c:pt idx="810">
                  <c:v>6.552</c:v>
                </c:pt>
                <c:pt idx="811">
                  <c:v>7.016</c:v>
                </c:pt>
                <c:pt idx="812">
                  <c:v>7.447</c:v>
                </c:pt>
                <c:pt idx="813">
                  <c:v>7.843</c:v>
                </c:pt>
                <c:pt idx="814">
                  <c:v>8.202</c:v>
                </c:pt>
                <c:pt idx="815">
                  <c:v>8.523</c:v>
                </c:pt>
                <c:pt idx="816">
                  <c:v>8.805</c:v>
                </c:pt>
                <c:pt idx="817">
                  <c:v>9.046</c:v>
                </c:pt>
                <c:pt idx="818">
                  <c:v>9.327</c:v>
                </c:pt>
                <c:pt idx="819">
                  <c:v>9.460</c:v>
                </c:pt>
                <c:pt idx="820">
                  <c:v>9.549</c:v>
                </c:pt>
                <c:pt idx="821">
                  <c:v>9.594</c:v>
                </c:pt>
                <c:pt idx="822">
                  <c:v>9.594</c:v>
                </c:pt>
                <c:pt idx="823">
                  <c:v>9.549</c:v>
                </c:pt>
                <c:pt idx="824">
                  <c:v>9.460</c:v>
                </c:pt>
                <c:pt idx="825">
                  <c:v>9.328</c:v>
                </c:pt>
                <c:pt idx="826">
                  <c:v>9.044</c:v>
                </c:pt>
                <c:pt idx="827">
                  <c:v>8.805</c:v>
                </c:pt>
                <c:pt idx="828">
                  <c:v>8.525</c:v>
                </c:pt>
                <c:pt idx="829">
                  <c:v>8.027</c:v>
                </c:pt>
                <c:pt idx="830">
                  <c:v>7.446</c:v>
                </c:pt>
                <c:pt idx="831">
                  <c:v>6.788</c:v>
                </c:pt>
                <c:pt idx="832">
                  <c:v>6.058</c:v>
                </c:pt>
                <c:pt idx="833">
                  <c:v>5.265</c:v>
                </c:pt>
                <c:pt idx="834">
                  <c:v>4.416</c:v>
                </c:pt>
                <c:pt idx="835">
                  <c:v>3.522</c:v>
                </c:pt>
                <c:pt idx="836">
                  <c:v>2.587</c:v>
                </c:pt>
                <c:pt idx="837">
                  <c:v>1.951</c:v>
                </c:pt>
                <c:pt idx="838">
                  <c:v>1.542</c:v>
                </c:pt>
                <c:pt idx="839">
                  <c:v>0.982</c:v>
                </c:pt>
                <c:pt idx="840">
                  <c:v>0.328</c:v>
                </c:pt>
                <c:pt idx="841">
                  <c:v>-9.480</c:v>
                </c:pt>
                <c:pt idx="842">
                  <c:v>-9.201</c:v>
                </c:pt>
                <c:pt idx="843">
                  <c:v>-1.765</c:v>
                </c:pt>
                <c:pt idx="844">
                  <c:v>1.712</c:v>
                </c:pt>
                <c:pt idx="845">
                  <c:v>3.522</c:v>
                </c:pt>
                <c:pt idx="846">
                  <c:v>3.920</c:v>
                </c:pt>
                <c:pt idx="847">
                  <c:v>4.270</c:v>
                </c:pt>
                <c:pt idx="848">
                  <c:v>4.588</c:v>
                </c:pt>
                <c:pt idx="849">
                  <c:v>4.743</c:v>
                </c:pt>
                <c:pt idx="850">
                  <c:v>4.875</c:v>
                </c:pt>
                <c:pt idx="851">
                  <c:v>5.065</c:v>
                </c:pt>
                <c:pt idx="852">
                  <c:v>5.139</c:v>
                </c:pt>
                <c:pt idx="853">
                  <c:v>5.193</c:v>
                </c:pt>
                <c:pt idx="854">
                  <c:v>5.220</c:v>
                </c:pt>
                <c:pt idx="855">
                  <c:v>5.220</c:v>
                </c:pt>
                <c:pt idx="856">
                  <c:v>5.193</c:v>
                </c:pt>
                <c:pt idx="857">
                  <c:v>5.139</c:v>
                </c:pt>
                <c:pt idx="858">
                  <c:v>4.970</c:v>
                </c:pt>
                <c:pt idx="859">
                  <c:v>4.736</c:v>
                </c:pt>
                <c:pt idx="860">
                  <c:v>4.573</c:v>
                </c:pt>
                <c:pt idx="861">
                  <c:v>4.379</c:v>
                </c:pt>
                <c:pt idx="862">
                  <c:v>4.161</c:v>
                </c:pt>
                <c:pt idx="863">
                  <c:v>3.922</c:v>
                </c:pt>
                <c:pt idx="864">
                  <c:v>3.662</c:v>
                </c:pt>
                <c:pt idx="865">
                  <c:v>3.382</c:v>
                </c:pt>
                <c:pt idx="866">
                  <c:v>3.083</c:v>
                </c:pt>
                <c:pt idx="867">
                  <c:v>2.796</c:v>
                </c:pt>
                <c:pt idx="868">
                  <c:v>2.233</c:v>
                </c:pt>
                <c:pt idx="869">
                  <c:v>1.611</c:v>
                </c:pt>
                <c:pt idx="870">
                  <c:v>0.972</c:v>
                </c:pt>
                <c:pt idx="871">
                  <c:v>0.602</c:v>
                </c:pt>
                <c:pt idx="872">
                  <c:v>0.212</c:v>
                </c:pt>
                <c:pt idx="873">
                  <c:v>#¡CAMPO!</c:v>
                </c:pt>
                <c:pt idx="874">
                  <c:v>#¡CAMPO!</c:v>
                </c:pt>
                <c:pt idx="875">
                  <c:v>-6.380</c:v>
                </c:pt>
                <c:pt idx="876">
                  <c:v>4.677</c:v>
                </c:pt>
                <c:pt idx="877">
                  <c:v>4.677</c:v>
                </c:pt>
                <c:pt idx="878">
                  <c:v>-7.289</c:v>
                </c:pt>
                <c:pt idx="879">
                  <c:v>-7.289</c:v>
                </c:pt>
                <c:pt idx="880">
                  <c:v>0.065</c:v>
                </c:pt>
                <c:pt idx="881">
                  <c:v>0.493</c:v>
                </c:pt>
                <c:pt idx="882">
                  <c:v>0.992</c:v>
                </c:pt>
                <c:pt idx="883">
                  <c:v>1.483</c:v>
                </c:pt>
                <c:pt idx="884">
                  <c:v>1.966</c:v>
                </c:pt>
                <c:pt idx="885">
                  <c:v>2.440</c:v>
                </c:pt>
                <c:pt idx="886">
                  <c:v>2.882</c:v>
                </c:pt>
                <c:pt idx="887">
                  <c:v>3.571</c:v>
                </c:pt>
                <c:pt idx="888">
                  <c:v>4.221</c:v>
                </c:pt>
                <c:pt idx="889">
                  <c:v>4.599</c:v>
                </c:pt>
                <c:pt idx="890">
                  <c:v>4.974</c:v>
                </c:pt>
                <c:pt idx="891">
                  <c:v>5.326</c:v>
                </c:pt>
                <c:pt idx="892">
                  <c:v>5.653</c:v>
                </c:pt>
                <c:pt idx="893">
                  <c:v>5.953</c:v>
                </c:pt>
                <c:pt idx="894">
                  <c:v>6.226</c:v>
                </c:pt>
                <c:pt idx="895">
                  <c:v>6.613</c:v>
                </c:pt>
                <c:pt idx="896">
                  <c:v>6.778</c:v>
                </c:pt>
                <c:pt idx="897">
                  <c:v>6.946</c:v>
                </c:pt>
                <c:pt idx="898">
                  <c:v>7.080</c:v>
                </c:pt>
                <c:pt idx="899">
                  <c:v>7.181</c:v>
                </c:pt>
                <c:pt idx="900">
                  <c:v>7.249</c:v>
                </c:pt>
                <c:pt idx="901">
                  <c:v>7.283</c:v>
                </c:pt>
                <c:pt idx="902">
                  <c:v>7.283</c:v>
                </c:pt>
                <c:pt idx="903">
                  <c:v>7.249</c:v>
                </c:pt>
                <c:pt idx="904">
                  <c:v>7.181</c:v>
                </c:pt>
                <c:pt idx="905">
                  <c:v>7.085</c:v>
                </c:pt>
                <c:pt idx="906">
                  <c:v>6.858</c:v>
                </c:pt>
                <c:pt idx="907">
                  <c:v>6.684</c:v>
                </c:pt>
                <c:pt idx="908">
                  <c:v>6.480</c:v>
                </c:pt>
                <c:pt idx="909">
                  <c:v>6.092</c:v>
                </c:pt>
                <c:pt idx="910">
                  <c:v>5.651</c:v>
                </c:pt>
                <c:pt idx="911">
                  <c:v>5.151</c:v>
                </c:pt>
                <c:pt idx="912">
                  <c:v>4.598</c:v>
                </c:pt>
                <c:pt idx="913">
                  <c:v>3.996</c:v>
                </c:pt>
                <c:pt idx="914">
                  <c:v>3.352</c:v>
                </c:pt>
                <c:pt idx="915">
                  <c:v>2.673</c:v>
                </c:pt>
                <c:pt idx="916">
                  <c:v>1.966</c:v>
                </c:pt>
                <c:pt idx="917">
                  <c:v>1.215</c:v>
                </c:pt>
                <c:pt idx="918">
                  <c:v>0.745</c:v>
                </c:pt>
                <c:pt idx="919">
                  <c:v>0.248</c:v>
                </c:pt>
                <c:pt idx="920">
                  <c:v>-7.169</c:v>
                </c:pt>
                <c:pt idx="921">
                  <c:v>-8.584</c:v>
                </c:pt>
                <c:pt idx="922">
                  <c:v>-8.584</c:v>
                </c:pt>
                <c:pt idx="923">
                  <c:v>0.089</c:v>
                </c:pt>
                <c:pt idx="924">
                  <c:v>0.583</c:v>
                </c:pt>
                <c:pt idx="925">
                  <c:v>1.169</c:v>
                </c:pt>
                <c:pt idx="926">
                  <c:v>1.746</c:v>
                </c:pt>
                <c:pt idx="927">
                  <c:v>2.316</c:v>
                </c:pt>
                <c:pt idx="928">
                  <c:v>2.874</c:v>
                </c:pt>
                <c:pt idx="929">
                  <c:v>3.408</c:v>
                </c:pt>
                <c:pt idx="930">
                  <c:v>4.206</c:v>
                </c:pt>
                <c:pt idx="931">
                  <c:v>4.960</c:v>
                </c:pt>
                <c:pt idx="932">
                  <c:v>5.417</c:v>
                </c:pt>
                <c:pt idx="933">
                  <c:v>5.859</c:v>
                </c:pt>
                <c:pt idx="934">
                  <c:v>6.273</c:v>
                </c:pt>
                <c:pt idx="935">
                  <c:v>6.658</c:v>
                </c:pt>
                <c:pt idx="936">
                  <c:v>7.013</c:v>
                </c:pt>
                <c:pt idx="937">
                  <c:v>7.334</c:v>
                </c:pt>
                <c:pt idx="938">
                  <c:v>7.624</c:v>
                </c:pt>
                <c:pt idx="939">
                  <c:v>7.791</c:v>
                </c:pt>
                <c:pt idx="940">
                  <c:v>7.984</c:v>
                </c:pt>
                <c:pt idx="941">
                  <c:v>8.181</c:v>
                </c:pt>
                <c:pt idx="942">
                  <c:v>8.339</c:v>
                </c:pt>
                <c:pt idx="943">
                  <c:v>8.459</c:v>
                </c:pt>
                <c:pt idx="944">
                  <c:v>8.539</c:v>
                </c:pt>
                <c:pt idx="945">
                  <c:v>8.579</c:v>
                </c:pt>
                <c:pt idx="946">
                  <c:v>8.579</c:v>
                </c:pt>
                <c:pt idx="947">
                  <c:v>8.539</c:v>
                </c:pt>
                <c:pt idx="948">
                  <c:v>8.459</c:v>
                </c:pt>
                <c:pt idx="949">
                  <c:v>8.342</c:v>
                </c:pt>
                <c:pt idx="950">
                  <c:v>8.084</c:v>
                </c:pt>
                <c:pt idx="951">
                  <c:v>7.873</c:v>
                </c:pt>
                <c:pt idx="952">
                  <c:v>7.626</c:v>
                </c:pt>
                <c:pt idx="953">
                  <c:v>7.177</c:v>
                </c:pt>
                <c:pt idx="954">
                  <c:v>6.658</c:v>
                </c:pt>
                <c:pt idx="955">
                  <c:v>6.069</c:v>
                </c:pt>
                <c:pt idx="956">
                  <c:v>5.416</c:v>
                </c:pt>
                <c:pt idx="957">
                  <c:v>4.707</c:v>
                </c:pt>
                <c:pt idx="958">
                  <c:v>3.949</c:v>
                </c:pt>
                <c:pt idx="959">
                  <c:v>3.149</c:v>
                </c:pt>
                <c:pt idx="960">
                  <c:v>2.316</c:v>
                </c:pt>
                <c:pt idx="961">
                  <c:v>1.446</c:v>
                </c:pt>
                <c:pt idx="962">
                  <c:v>0.878</c:v>
                </c:pt>
                <c:pt idx="963">
                  <c:v>0.293</c:v>
                </c:pt>
                <c:pt idx="964">
                  <c:v>-8.464</c:v>
                </c:pt>
                <c:pt idx="965">
                  <c:v>-9.600</c:v>
                </c:pt>
                <c:pt idx="966">
                  <c:v>-9.600</c:v>
                </c:pt>
                <c:pt idx="967">
                  <c:v>0.109</c:v>
                </c:pt>
                <c:pt idx="968">
                  <c:v>0.654</c:v>
                </c:pt>
                <c:pt idx="969">
                  <c:v>1.307</c:v>
                </c:pt>
                <c:pt idx="970">
                  <c:v>1.953</c:v>
                </c:pt>
                <c:pt idx="971">
                  <c:v>2.590</c:v>
                </c:pt>
                <c:pt idx="972">
                  <c:v>3.215</c:v>
                </c:pt>
                <c:pt idx="973">
                  <c:v>3.821</c:v>
                </c:pt>
                <c:pt idx="974">
                  <c:v>4.705</c:v>
                </c:pt>
                <c:pt idx="975">
                  <c:v>5.539</c:v>
                </c:pt>
                <c:pt idx="976">
                  <c:v>6.058</c:v>
                </c:pt>
                <c:pt idx="977">
                  <c:v>6.552</c:v>
                </c:pt>
                <c:pt idx="978">
                  <c:v>7.016</c:v>
                </c:pt>
                <c:pt idx="979">
                  <c:v>7.447</c:v>
                </c:pt>
                <c:pt idx="980">
                  <c:v>7.843</c:v>
                </c:pt>
                <c:pt idx="981">
                  <c:v>8.202</c:v>
                </c:pt>
                <c:pt idx="982">
                  <c:v>8.524</c:v>
                </c:pt>
                <c:pt idx="983">
                  <c:v>8.715</c:v>
                </c:pt>
                <c:pt idx="984">
                  <c:v>8.930</c:v>
                </c:pt>
                <c:pt idx="985">
                  <c:v>9.150</c:v>
                </c:pt>
                <c:pt idx="986">
                  <c:v>9.327</c:v>
                </c:pt>
                <c:pt idx="987">
                  <c:v>9.460</c:v>
                </c:pt>
                <c:pt idx="988">
                  <c:v>9.549</c:v>
                </c:pt>
                <c:pt idx="989">
                  <c:v>9.594</c:v>
                </c:pt>
                <c:pt idx="990">
                  <c:v>9.594</c:v>
                </c:pt>
                <c:pt idx="991">
                  <c:v>9.549</c:v>
                </c:pt>
                <c:pt idx="992">
                  <c:v>9.460</c:v>
                </c:pt>
                <c:pt idx="993">
                  <c:v>9.328</c:v>
                </c:pt>
                <c:pt idx="994">
                  <c:v>9.044</c:v>
                </c:pt>
                <c:pt idx="995">
                  <c:v>8.805</c:v>
                </c:pt>
                <c:pt idx="996">
                  <c:v>8.525</c:v>
                </c:pt>
                <c:pt idx="997">
                  <c:v>8.027</c:v>
                </c:pt>
                <c:pt idx="998">
                  <c:v>7.446</c:v>
                </c:pt>
                <c:pt idx="999">
                  <c:v>6.788</c:v>
                </c:pt>
                <c:pt idx="1000">
                  <c:v>6.058</c:v>
                </c:pt>
                <c:pt idx="1001">
                  <c:v>5.265</c:v>
                </c:pt>
                <c:pt idx="1002">
                  <c:v>4.416</c:v>
                </c:pt>
                <c:pt idx="1003">
                  <c:v>3.522</c:v>
                </c:pt>
                <c:pt idx="1004">
                  <c:v>2.590</c:v>
                </c:pt>
                <c:pt idx="1005">
                  <c:v>1.628</c:v>
                </c:pt>
                <c:pt idx="1006">
                  <c:v>0.982</c:v>
                </c:pt>
                <c:pt idx="1007">
                  <c:v>0.328</c:v>
                </c:pt>
                <c:pt idx="1008">
                  <c:v>-9.480</c:v>
                </c:pt>
                <c:pt idx="1009">
                  <c:v>-9.201</c:v>
                </c:pt>
                <c:pt idx="1010">
                  <c:v>-1.765</c:v>
                </c:pt>
                <c:pt idx="1011">
                  <c:v>1.712</c:v>
                </c:pt>
                <c:pt idx="1012">
                  <c:v>3.522</c:v>
                </c:pt>
                <c:pt idx="1013">
                  <c:v>3.920</c:v>
                </c:pt>
                <c:pt idx="1014">
                  <c:v>4.270</c:v>
                </c:pt>
                <c:pt idx="1015">
                  <c:v>4.588</c:v>
                </c:pt>
                <c:pt idx="1016">
                  <c:v>4.743</c:v>
                </c:pt>
                <c:pt idx="1017">
                  <c:v>4.875</c:v>
                </c:pt>
                <c:pt idx="1018">
                  <c:v>5.065</c:v>
                </c:pt>
                <c:pt idx="1019">
                  <c:v>5.139</c:v>
                </c:pt>
                <c:pt idx="1020">
                  <c:v>5.193</c:v>
                </c:pt>
                <c:pt idx="1021">
                  <c:v>5.220</c:v>
                </c:pt>
                <c:pt idx="1022">
                  <c:v>5.220</c:v>
                </c:pt>
                <c:pt idx="1023">
                  <c:v>5.193</c:v>
                </c:pt>
                <c:pt idx="1024">
                  <c:v>5.139</c:v>
                </c:pt>
                <c:pt idx="1025">
                  <c:v>5.058</c:v>
                </c:pt>
                <c:pt idx="1026">
                  <c:v>4.951</c:v>
                </c:pt>
                <c:pt idx="1027">
                  <c:v>4.816</c:v>
                </c:pt>
                <c:pt idx="1028">
                  <c:v>4.695</c:v>
                </c:pt>
                <c:pt idx="1029">
                  <c:v>4.369</c:v>
                </c:pt>
                <c:pt idx="1030">
                  <c:v>4.161</c:v>
                </c:pt>
                <c:pt idx="1031">
                  <c:v>3.922</c:v>
                </c:pt>
                <c:pt idx="1032">
                  <c:v>3.662</c:v>
                </c:pt>
                <c:pt idx="1033">
                  <c:v>3.382</c:v>
                </c:pt>
                <c:pt idx="1034">
                  <c:v>3.083</c:v>
                </c:pt>
                <c:pt idx="1035">
                  <c:v>2.796</c:v>
                </c:pt>
                <c:pt idx="1036">
                  <c:v>2.264</c:v>
                </c:pt>
                <c:pt idx="1037">
                  <c:v>1.700</c:v>
                </c:pt>
                <c:pt idx="1038">
                  <c:v>1.365</c:v>
                </c:pt>
                <c:pt idx="1039">
                  <c:v>0.987</c:v>
                </c:pt>
                <c:pt idx="1040">
                  <c:v>0.602</c:v>
                </c:pt>
                <c:pt idx="1041">
                  <c:v>0.212</c:v>
                </c:pt>
                <c:pt idx="1042">
                  <c:v>#¡CAMPO!</c:v>
                </c:pt>
                <c:pt idx="1043">
                  <c:v>-6.380</c:v>
                </c:pt>
                <c:pt idx="1044">
                  <c:v>4.677</c:v>
                </c:pt>
                <c:pt idx="1045">
                  <c:v>4.677</c:v>
                </c:pt>
                <c:pt idx="1046">
                  <c:v>-7.289</c:v>
                </c:pt>
                <c:pt idx="1047">
                  <c:v>-7.289</c:v>
                </c:pt>
                <c:pt idx="1048">
                  <c:v>0.084</c:v>
                </c:pt>
                <c:pt idx="1049">
                  <c:v>0.492</c:v>
                </c:pt>
                <c:pt idx="1050">
                  <c:v>0.992</c:v>
                </c:pt>
                <c:pt idx="1051">
                  <c:v>1.483</c:v>
                </c:pt>
                <c:pt idx="1052">
                  <c:v>1.966</c:v>
                </c:pt>
                <c:pt idx="1053">
                  <c:v>2.450</c:v>
                </c:pt>
                <c:pt idx="1054">
                  <c:v>3.125</c:v>
                </c:pt>
                <c:pt idx="1055">
                  <c:v>3.551</c:v>
                </c:pt>
                <c:pt idx="1056">
                  <c:v>4.221</c:v>
                </c:pt>
                <c:pt idx="1057">
                  <c:v>4.599</c:v>
                </c:pt>
                <c:pt idx="1058">
                  <c:v>4.974</c:v>
                </c:pt>
                <c:pt idx="1059">
                  <c:v>5.326</c:v>
                </c:pt>
                <c:pt idx="1060">
                  <c:v>5.653</c:v>
                </c:pt>
                <c:pt idx="1061">
                  <c:v>5.953</c:v>
                </c:pt>
                <c:pt idx="1062">
                  <c:v>6.226</c:v>
                </c:pt>
                <c:pt idx="1063">
                  <c:v>6.470</c:v>
                </c:pt>
                <c:pt idx="1064">
                  <c:v>6.684</c:v>
                </c:pt>
                <c:pt idx="1065">
                  <c:v>6.866</c:v>
                </c:pt>
                <c:pt idx="1066">
                  <c:v>7.010</c:v>
                </c:pt>
                <c:pt idx="1067">
                  <c:v>7.184</c:v>
                </c:pt>
                <c:pt idx="1068">
                  <c:v>7.249</c:v>
                </c:pt>
                <c:pt idx="1069">
                  <c:v>7.283</c:v>
                </c:pt>
                <c:pt idx="1070">
                  <c:v>7.283</c:v>
                </c:pt>
                <c:pt idx="1071">
                  <c:v>7.249</c:v>
                </c:pt>
                <c:pt idx="1072">
                  <c:v>7.181</c:v>
                </c:pt>
                <c:pt idx="1073">
                  <c:v>7.080</c:v>
                </c:pt>
                <c:pt idx="1074">
                  <c:v>6.834</c:v>
                </c:pt>
                <c:pt idx="1075">
                  <c:v>6.686</c:v>
                </c:pt>
                <c:pt idx="1076">
                  <c:v>6.480</c:v>
                </c:pt>
                <c:pt idx="1077">
                  <c:v>6.092</c:v>
                </c:pt>
                <c:pt idx="1078">
                  <c:v>5.651</c:v>
                </c:pt>
                <c:pt idx="1079">
                  <c:v>5.151</c:v>
                </c:pt>
                <c:pt idx="1080">
                  <c:v>4.598</c:v>
                </c:pt>
                <c:pt idx="1081">
                  <c:v>3.996</c:v>
                </c:pt>
                <c:pt idx="1082">
                  <c:v>3.352</c:v>
                </c:pt>
                <c:pt idx="1083">
                  <c:v>2.673</c:v>
                </c:pt>
                <c:pt idx="1084">
                  <c:v>1.966</c:v>
                </c:pt>
                <c:pt idx="1085">
                  <c:v>1.215</c:v>
                </c:pt>
                <c:pt idx="1086">
                  <c:v>0.745</c:v>
                </c:pt>
                <c:pt idx="1087">
                  <c:v>0.248</c:v>
                </c:pt>
                <c:pt idx="1088">
                  <c:v>-7.169</c:v>
                </c:pt>
                <c:pt idx="1089">
                  <c:v>-8.584</c:v>
                </c:pt>
                <c:pt idx="1090">
                  <c:v>-8.584</c:v>
                </c:pt>
                <c:pt idx="1091">
                  <c:v>0.109</c:v>
                </c:pt>
                <c:pt idx="1092">
                  <c:v>0.583</c:v>
                </c:pt>
                <c:pt idx="1093">
                  <c:v>1.169</c:v>
                </c:pt>
                <c:pt idx="1094">
                  <c:v>1.746</c:v>
                </c:pt>
                <c:pt idx="1095">
                  <c:v>2.316</c:v>
                </c:pt>
                <c:pt idx="1096">
                  <c:v>2.879</c:v>
                </c:pt>
                <c:pt idx="1097">
                  <c:v>3.684</c:v>
                </c:pt>
                <c:pt idx="1098">
                  <c:v>4.196</c:v>
                </c:pt>
                <c:pt idx="1099">
                  <c:v>4.960</c:v>
                </c:pt>
                <c:pt idx="1100">
                  <c:v>5.417</c:v>
                </c:pt>
                <c:pt idx="1101">
                  <c:v>5.859</c:v>
                </c:pt>
                <c:pt idx="1102">
                  <c:v>6.273</c:v>
                </c:pt>
                <c:pt idx="1103">
                  <c:v>6.658</c:v>
                </c:pt>
                <c:pt idx="1104">
                  <c:v>7.013</c:v>
                </c:pt>
                <c:pt idx="1105">
                  <c:v>7.334</c:v>
                </c:pt>
                <c:pt idx="1106">
                  <c:v>7.621</c:v>
                </c:pt>
                <c:pt idx="1107">
                  <c:v>7.873</c:v>
                </c:pt>
                <c:pt idx="1108">
                  <c:v>8.088</c:v>
                </c:pt>
                <c:pt idx="1109">
                  <c:v>8.262</c:v>
                </c:pt>
                <c:pt idx="1110">
                  <c:v>8.460</c:v>
                </c:pt>
                <c:pt idx="1111">
                  <c:v>8.539</c:v>
                </c:pt>
                <c:pt idx="1112">
                  <c:v>8.579</c:v>
                </c:pt>
                <c:pt idx="1113">
                  <c:v>8.579</c:v>
                </c:pt>
                <c:pt idx="1114">
                  <c:v>8.539</c:v>
                </c:pt>
                <c:pt idx="1115">
                  <c:v>8.459</c:v>
                </c:pt>
                <c:pt idx="1116">
                  <c:v>8.339</c:v>
                </c:pt>
                <c:pt idx="1117">
                  <c:v>8.180</c:v>
                </c:pt>
                <c:pt idx="1118">
                  <c:v>8.048</c:v>
                </c:pt>
                <c:pt idx="1119">
                  <c:v>7.874</c:v>
                </c:pt>
                <c:pt idx="1120">
                  <c:v>7.626</c:v>
                </c:pt>
                <c:pt idx="1121">
                  <c:v>7.177</c:v>
                </c:pt>
                <c:pt idx="1122">
                  <c:v>6.658</c:v>
                </c:pt>
                <c:pt idx="1123">
                  <c:v>6.069</c:v>
                </c:pt>
                <c:pt idx="1124">
                  <c:v>5.416</c:v>
                </c:pt>
                <c:pt idx="1125">
                  <c:v>4.707</c:v>
                </c:pt>
                <c:pt idx="1126">
                  <c:v>3.949</c:v>
                </c:pt>
                <c:pt idx="1127">
                  <c:v>3.149</c:v>
                </c:pt>
                <c:pt idx="1128">
                  <c:v>2.316</c:v>
                </c:pt>
                <c:pt idx="1129">
                  <c:v>1.446</c:v>
                </c:pt>
                <c:pt idx="1130">
                  <c:v>0.878</c:v>
                </c:pt>
                <c:pt idx="1131">
                  <c:v>0.293</c:v>
                </c:pt>
                <c:pt idx="1132">
                  <c:v>-8.464</c:v>
                </c:pt>
                <c:pt idx="1133">
                  <c:v>-9.600</c:v>
                </c:pt>
                <c:pt idx="1134">
                  <c:v>-9.600</c:v>
                </c:pt>
                <c:pt idx="1135">
                  <c:v>0.129</c:v>
                </c:pt>
                <c:pt idx="1136">
                  <c:v>0.654</c:v>
                </c:pt>
                <c:pt idx="1137">
                  <c:v>1.307</c:v>
                </c:pt>
                <c:pt idx="1138">
                  <c:v>1.953</c:v>
                </c:pt>
                <c:pt idx="1139">
                  <c:v>2.590</c:v>
                </c:pt>
                <c:pt idx="1140">
                  <c:v>3.216</c:v>
                </c:pt>
                <c:pt idx="1141">
                  <c:v>4.122</c:v>
                </c:pt>
                <c:pt idx="1142">
                  <c:v>4.702</c:v>
                </c:pt>
                <c:pt idx="1143">
                  <c:v>5.539</c:v>
                </c:pt>
                <c:pt idx="1144">
                  <c:v>6.058</c:v>
                </c:pt>
                <c:pt idx="1145">
                  <c:v>6.552</c:v>
                </c:pt>
                <c:pt idx="1146">
                  <c:v>7.016</c:v>
                </c:pt>
                <c:pt idx="1147">
                  <c:v>7.447</c:v>
                </c:pt>
                <c:pt idx="1148">
                  <c:v>7.843</c:v>
                </c:pt>
                <c:pt idx="1149">
                  <c:v>8.202</c:v>
                </c:pt>
                <c:pt idx="1150">
                  <c:v>8.523</c:v>
                </c:pt>
                <c:pt idx="1151">
                  <c:v>8.805</c:v>
                </c:pt>
                <c:pt idx="1152">
                  <c:v>9.045</c:v>
                </c:pt>
                <c:pt idx="1153">
                  <c:v>9.243</c:v>
                </c:pt>
                <c:pt idx="1154">
                  <c:v>9.461</c:v>
                </c:pt>
                <c:pt idx="1155">
                  <c:v>9.549</c:v>
                </c:pt>
                <c:pt idx="1156">
                  <c:v>9.594</c:v>
                </c:pt>
                <c:pt idx="1157">
                  <c:v>9.594</c:v>
                </c:pt>
                <c:pt idx="1158">
                  <c:v>9.549</c:v>
                </c:pt>
                <c:pt idx="1159">
                  <c:v>9.460</c:v>
                </c:pt>
                <c:pt idx="1160">
                  <c:v>9.327</c:v>
                </c:pt>
                <c:pt idx="1161">
                  <c:v>9.150</c:v>
                </c:pt>
                <c:pt idx="1162">
                  <c:v>9.000</c:v>
                </c:pt>
                <c:pt idx="1163">
                  <c:v>8.805</c:v>
                </c:pt>
                <c:pt idx="1164">
                  <c:v>8.525</c:v>
                </c:pt>
                <c:pt idx="1165">
                  <c:v>8.027</c:v>
                </c:pt>
                <c:pt idx="1166">
                  <c:v>7.446</c:v>
                </c:pt>
                <c:pt idx="1167">
                  <c:v>6.788</c:v>
                </c:pt>
                <c:pt idx="1168">
                  <c:v>6.058</c:v>
                </c:pt>
                <c:pt idx="1169">
                  <c:v>5.265</c:v>
                </c:pt>
                <c:pt idx="1170">
                  <c:v>4.416</c:v>
                </c:pt>
                <c:pt idx="1171">
                  <c:v>3.522</c:v>
                </c:pt>
                <c:pt idx="1172">
                  <c:v>2.590</c:v>
                </c:pt>
                <c:pt idx="1173">
                  <c:v>1.628</c:v>
                </c:pt>
                <c:pt idx="1174">
                  <c:v>0.982</c:v>
                </c:pt>
                <c:pt idx="1175">
                  <c:v>0.328</c:v>
                </c:pt>
                <c:pt idx="1176">
                  <c:v>-9.480</c:v>
                </c:pt>
                <c:pt idx="1177">
                  <c:v>-9.201</c:v>
                </c:pt>
                <c:pt idx="1178">
                  <c:v>-1.765</c:v>
                </c:pt>
                <c:pt idx="1179">
                  <c:v>1.712</c:v>
                </c:pt>
                <c:pt idx="1180">
                  <c:v>3.522</c:v>
                </c:pt>
                <c:pt idx="1181">
                  <c:v>3.920</c:v>
                </c:pt>
                <c:pt idx="1182">
                  <c:v>4.270</c:v>
                </c:pt>
                <c:pt idx="1183">
                  <c:v>4.588</c:v>
                </c:pt>
                <c:pt idx="1184">
                  <c:v>4.854</c:v>
                </c:pt>
                <c:pt idx="1185">
                  <c:v>5.062</c:v>
                </c:pt>
                <c:pt idx="1186">
                  <c:v>5.139</c:v>
                </c:pt>
                <c:pt idx="1187">
                  <c:v>5.193</c:v>
                </c:pt>
                <c:pt idx="1188">
                  <c:v>5.220</c:v>
                </c:pt>
                <c:pt idx="1189">
                  <c:v>5.220</c:v>
                </c:pt>
                <c:pt idx="1190">
                  <c:v>5.193</c:v>
                </c:pt>
                <c:pt idx="1191">
                  <c:v>5.144</c:v>
                </c:pt>
                <c:pt idx="1192">
                  <c:v>4.997</c:v>
                </c:pt>
                <c:pt idx="1193">
                  <c:v>4.888</c:v>
                </c:pt>
                <c:pt idx="1194">
                  <c:v>4.743</c:v>
                </c:pt>
                <c:pt idx="1195">
                  <c:v>4.573</c:v>
                </c:pt>
                <c:pt idx="1196">
                  <c:v>4.379</c:v>
                </c:pt>
                <c:pt idx="1197">
                  <c:v>4.161</c:v>
                </c:pt>
                <c:pt idx="1198">
                  <c:v>3.922</c:v>
                </c:pt>
                <c:pt idx="1199">
                  <c:v>3.662</c:v>
                </c:pt>
                <c:pt idx="1200">
                  <c:v>3.382</c:v>
                </c:pt>
                <c:pt idx="1201">
                  <c:v>3.083</c:v>
                </c:pt>
                <c:pt idx="1202">
                  <c:v>2.796</c:v>
                </c:pt>
                <c:pt idx="1203">
                  <c:v>2.233</c:v>
                </c:pt>
                <c:pt idx="1204">
                  <c:v>1.906</c:v>
                </c:pt>
                <c:pt idx="1205">
                  <c:v>1.641</c:v>
                </c:pt>
                <c:pt idx="1206">
                  <c:v>0.97</c:v>
                </c:pt>
                <c:pt idx="1207">
                  <c:v>0.602</c:v>
                </c:pt>
                <c:pt idx="1208">
                  <c:v>0.212</c:v>
                </c:pt>
                <c:pt idx="1209">
                  <c:v>#¡CAMPO!</c:v>
                </c:pt>
                <c:pt idx="1210">
                  <c:v>-6.380</c:v>
                </c:pt>
                <c:pt idx="1211">
                  <c:v>4.677</c:v>
                </c:pt>
                <c:pt idx="1212">
                  <c:v>4.677</c:v>
                </c:pt>
                <c:pt idx="1213">
                  <c:v>-7.289</c:v>
                </c:pt>
                <c:pt idx="1214">
                  <c:v>-7.289</c:v>
                </c:pt>
                <c:pt idx="1215">
                  <c:v>0.103</c:v>
                </c:pt>
                <c:pt idx="1216">
                  <c:v>0.49</c:v>
                </c:pt>
                <c:pt idx="1217">
                  <c:v>0.992</c:v>
                </c:pt>
                <c:pt idx="1218">
                  <c:v>1.483</c:v>
                </c:pt>
                <c:pt idx="1219">
                  <c:v>1.966</c:v>
                </c:pt>
                <c:pt idx="1220">
                  <c:v>2.448</c:v>
                </c:pt>
                <c:pt idx="1221">
                  <c:v>3.124</c:v>
                </c:pt>
                <c:pt idx="1222">
                  <c:v>3.551</c:v>
                </c:pt>
                <c:pt idx="1223">
                  <c:v>4.221</c:v>
                </c:pt>
                <c:pt idx="1224">
                  <c:v>4.599</c:v>
                </c:pt>
                <c:pt idx="1225">
                  <c:v>4.974</c:v>
                </c:pt>
                <c:pt idx="1226">
                  <c:v>5.326</c:v>
                </c:pt>
                <c:pt idx="1227">
                  <c:v>5.653</c:v>
                </c:pt>
                <c:pt idx="1228">
                  <c:v>5.953</c:v>
                </c:pt>
                <c:pt idx="1229">
                  <c:v>6.226</c:v>
                </c:pt>
                <c:pt idx="1230">
                  <c:v>6.474</c:v>
                </c:pt>
                <c:pt idx="1231">
                  <c:v>6.628</c:v>
                </c:pt>
                <c:pt idx="1232">
                  <c:v>6.777</c:v>
                </c:pt>
                <c:pt idx="1233">
                  <c:v>6.946</c:v>
                </c:pt>
                <c:pt idx="1234">
                  <c:v>7.080</c:v>
                </c:pt>
                <c:pt idx="1235">
                  <c:v>7.181</c:v>
                </c:pt>
                <c:pt idx="1236">
                  <c:v>7.249</c:v>
                </c:pt>
                <c:pt idx="1237">
                  <c:v>7.283</c:v>
                </c:pt>
                <c:pt idx="1238">
                  <c:v>7.283</c:v>
                </c:pt>
                <c:pt idx="1239">
                  <c:v>7.249</c:v>
                </c:pt>
                <c:pt idx="1240">
                  <c:v>7.181</c:v>
                </c:pt>
                <c:pt idx="1241">
                  <c:v>7.085</c:v>
                </c:pt>
                <c:pt idx="1242">
                  <c:v>6.858</c:v>
                </c:pt>
                <c:pt idx="1243">
                  <c:v>6.684</c:v>
                </c:pt>
                <c:pt idx="1244">
                  <c:v>6.480</c:v>
                </c:pt>
                <c:pt idx="1245">
                  <c:v>6.092</c:v>
                </c:pt>
                <c:pt idx="1246">
                  <c:v>5.651</c:v>
                </c:pt>
                <c:pt idx="1247">
                  <c:v>5.151</c:v>
                </c:pt>
                <c:pt idx="1248">
                  <c:v>4.598</c:v>
                </c:pt>
                <c:pt idx="1249">
                  <c:v>3.996</c:v>
                </c:pt>
                <c:pt idx="1250">
                  <c:v>3.352</c:v>
                </c:pt>
                <c:pt idx="1251">
                  <c:v>2.673</c:v>
                </c:pt>
                <c:pt idx="1252">
                  <c:v>1.944</c:v>
                </c:pt>
                <c:pt idx="1253">
                  <c:v>1.474</c:v>
                </c:pt>
                <c:pt idx="1254">
                  <c:v>1.127</c:v>
                </c:pt>
                <c:pt idx="1255">
                  <c:v>0.752</c:v>
                </c:pt>
                <c:pt idx="1256">
                  <c:v>0.248</c:v>
                </c:pt>
                <c:pt idx="1257">
                  <c:v>-7.169</c:v>
                </c:pt>
                <c:pt idx="1258">
                  <c:v>-8.584</c:v>
                </c:pt>
                <c:pt idx="1259">
                  <c:v>-8.584</c:v>
                </c:pt>
                <c:pt idx="1260">
                  <c:v>0.129</c:v>
                </c:pt>
                <c:pt idx="1261">
                  <c:v>0.582</c:v>
                </c:pt>
                <c:pt idx="1262">
                  <c:v>1.169</c:v>
                </c:pt>
                <c:pt idx="1263">
                  <c:v>1.746</c:v>
                </c:pt>
                <c:pt idx="1264">
                  <c:v>2.316</c:v>
                </c:pt>
                <c:pt idx="1265">
                  <c:v>2.879</c:v>
                </c:pt>
                <c:pt idx="1266">
                  <c:v>3.683</c:v>
                </c:pt>
                <c:pt idx="1267">
                  <c:v>4.196</c:v>
                </c:pt>
                <c:pt idx="1268">
                  <c:v>4.960</c:v>
                </c:pt>
                <c:pt idx="1269">
                  <c:v>5.417</c:v>
                </c:pt>
                <c:pt idx="1270">
                  <c:v>5.859</c:v>
                </c:pt>
                <c:pt idx="1271">
                  <c:v>6.273</c:v>
                </c:pt>
                <c:pt idx="1272">
                  <c:v>6.658</c:v>
                </c:pt>
                <c:pt idx="1273">
                  <c:v>7.013</c:v>
                </c:pt>
                <c:pt idx="1274">
                  <c:v>7.334</c:v>
                </c:pt>
                <c:pt idx="1275">
                  <c:v>7.623</c:v>
                </c:pt>
                <c:pt idx="1276">
                  <c:v>7.807</c:v>
                </c:pt>
                <c:pt idx="1277">
                  <c:v>7.984</c:v>
                </c:pt>
                <c:pt idx="1278">
                  <c:v>8.181</c:v>
                </c:pt>
                <c:pt idx="1279">
                  <c:v>8.339</c:v>
                </c:pt>
                <c:pt idx="1280">
                  <c:v>8.459</c:v>
                </c:pt>
                <c:pt idx="1281">
                  <c:v>8.539</c:v>
                </c:pt>
                <c:pt idx="1282">
                  <c:v>8.579</c:v>
                </c:pt>
                <c:pt idx="1283">
                  <c:v>8.579</c:v>
                </c:pt>
                <c:pt idx="1284">
                  <c:v>8.539</c:v>
                </c:pt>
                <c:pt idx="1285">
                  <c:v>8.459</c:v>
                </c:pt>
                <c:pt idx="1286">
                  <c:v>8.342</c:v>
                </c:pt>
                <c:pt idx="1287">
                  <c:v>8.084</c:v>
                </c:pt>
                <c:pt idx="1288">
                  <c:v>7.873</c:v>
                </c:pt>
                <c:pt idx="1289">
                  <c:v>7.626</c:v>
                </c:pt>
                <c:pt idx="1290">
                  <c:v>7.177</c:v>
                </c:pt>
                <c:pt idx="1291">
                  <c:v>6.658</c:v>
                </c:pt>
                <c:pt idx="1292">
                  <c:v>6.069</c:v>
                </c:pt>
                <c:pt idx="1293">
                  <c:v>5.416</c:v>
                </c:pt>
                <c:pt idx="1294">
                  <c:v>4.707</c:v>
                </c:pt>
                <c:pt idx="1295">
                  <c:v>3.949</c:v>
                </c:pt>
                <c:pt idx="1296">
                  <c:v>3.149</c:v>
                </c:pt>
                <c:pt idx="1297">
                  <c:v>2.304</c:v>
                </c:pt>
                <c:pt idx="1298">
                  <c:v>1.742</c:v>
                </c:pt>
                <c:pt idx="1299">
                  <c:v>1.326</c:v>
                </c:pt>
                <c:pt idx="1300">
                  <c:v>0.881</c:v>
                </c:pt>
                <c:pt idx="1301">
                  <c:v>0.293</c:v>
                </c:pt>
                <c:pt idx="1302">
                  <c:v>-8.464</c:v>
                </c:pt>
                <c:pt idx="1303">
                  <c:v>-9.600</c:v>
                </c:pt>
                <c:pt idx="1304">
                  <c:v>-9.600</c:v>
                </c:pt>
                <c:pt idx="1305">
                  <c:v>0.149</c:v>
                </c:pt>
                <c:pt idx="1306">
                  <c:v>0.654</c:v>
                </c:pt>
                <c:pt idx="1307">
                  <c:v>1.307</c:v>
                </c:pt>
                <c:pt idx="1308">
                  <c:v>1.953</c:v>
                </c:pt>
                <c:pt idx="1309">
                  <c:v>2.590</c:v>
                </c:pt>
                <c:pt idx="1310">
                  <c:v>3.216</c:v>
                </c:pt>
                <c:pt idx="1311">
                  <c:v>4.122</c:v>
                </c:pt>
                <c:pt idx="1312">
                  <c:v>4.702</c:v>
                </c:pt>
                <c:pt idx="1313">
                  <c:v>5.539</c:v>
                </c:pt>
                <c:pt idx="1314">
                  <c:v>6.058</c:v>
                </c:pt>
                <c:pt idx="1315">
                  <c:v>6.552</c:v>
                </c:pt>
                <c:pt idx="1316">
                  <c:v>7.016</c:v>
                </c:pt>
                <c:pt idx="1317">
                  <c:v>7.447</c:v>
                </c:pt>
                <c:pt idx="1318">
                  <c:v>7.843</c:v>
                </c:pt>
                <c:pt idx="1319">
                  <c:v>8.202</c:v>
                </c:pt>
                <c:pt idx="1320">
                  <c:v>8.524</c:v>
                </c:pt>
                <c:pt idx="1321">
                  <c:v>8.732</c:v>
                </c:pt>
                <c:pt idx="1322">
                  <c:v>8.930</c:v>
                </c:pt>
                <c:pt idx="1323">
                  <c:v>9.150</c:v>
                </c:pt>
                <c:pt idx="1324">
                  <c:v>9.327</c:v>
                </c:pt>
                <c:pt idx="1325">
                  <c:v>9.460</c:v>
                </c:pt>
                <c:pt idx="1326">
                  <c:v>9.549</c:v>
                </c:pt>
                <c:pt idx="1327">
                  <c:v>9.594</c:v>
                </c:pt>
                <c:pt idx="1328">
                  <c:v>9.594</c:v>
                </c:pt>
                <c:pt idx="1329">
                  <c:v>9.549</c:v>
                </c:pt>
                <c:pt idx="1330">
                  <c:v>9.460</c:v>
                </c:pt>
                <c:pt idx="1331">
                  <c:v>9.328</c:v>
                </c:pt>
                <c:pt idx="1332">
                  <c:v>9.044</c:v>
                </c:pt>
                <c:pt idx="1333">
                  <c:v>8.805</c:v>
                </c:pt>
                <c:pt idx="1334">
                  <c:v>8.525</c:v>
                </c:pt>
                <c:pt idx="1335">
                  <c:v>8.027</c:v>
                </c:pt>
                <c:pt idx="1336">
                  <c:v>7.446</c:v>
                </c:pt>
                <c:pt idx="1337">
                  <c:v>6.788</c:v>
                </c:pt>
                <c:pt idx="1338">
                  <c:v>6.058</c:v>
                </c:pt>
                <c:pt idx="1339">
                  <c:v>5.265</c:v>
                </c:pt>
                <c:pt idx="1340">
                  <c:v>4.416</c:v>
                </c:pt>
                <c:pt idx="1341">
                  <c:v>3.522</c:v>
                </c:pt>
                <c:pt idx="1342">
                  <c:v>2.587</c:v>
                </c:pt>
                <c:pt idx="1343">
                  <c:v>1.952</c:v>
                </c:pt>
                <c:pt idx="1344">
                  <c:v>1.482</c:v>
                </c:pt>
                <c:pt idx="1345">
                  <c:v>0.983</c:v>
                </c:pt>
                <c:pt idx="1346">
                  <c:v>0.328</c:v>
                </c:pt>
                <c:pt idx="1347">
                  <c:v>-9.480</c:v>
                </c:pt>
                <c:pt idx="1348">
                  <c:v>-9.201</c:v>
                </c:pt>
                <c:pt idx="1349">
                  <c:v>-1.765</c:v>
                </c:pt>
                <c:pt idx="1350">
                  <c:v>1.712</c:v>
                </c:pt>
                <c:pt idx="1351">
                  <c:v>3.522</c:v>
                </c:pt>
                <c:pt idx="1352">
                  <c:v>3.920</c:v>
                </c:pt>
                <c:pt idx="1353">
                  <c:v>4.270</c:v>
                </c:pt>
                <c:pt idx="1354">
                  <c:v>4.588</c:v>
                </c:pt>
                <c:pt idx="1355">
                  <c:v>4.743</c:v>
                </c:pt>
                <c:pt idx="1356">
                  <c:v>4.875</c:v>
                </c:pt>
                <c:pt idx="1357">
                  <c:v>5.065</c:v>
                </c:pt>
                <c:pt idx="1358">
                  <c:v>5.139</c:v>
                </c:pt>
                <c:pt idx="1359">
                  <c:v>5.193</c:v>
                </c:pt>
                <c:pt idx="1360">
                  <c:v>5.220</c:v>
                </c:pt>
                <c:pt idx="1361">
                  <c:v>5.220</c:v>
                </c:pt>
                <c:pt idx="1362">
                  <c:v>5.193</c:v>
                </c:pt>
                <c:pt idx="1363">
                  <c:v>5.139</c:v>
                </c:pt>
                <c:pt idx="1364">
                  <c:v>5.058</c:v>
                </c:pt>
                <c:pt idx="1365">
                  <c:v>4.951</c:v>
                </c:pt>
                <c:pt idx="1366">
                  <c:v>4.698</c:v>
                </c:pt>
                <c:pt idx="1367">
                  <c:v>4.379</c:v>
                </c:pt>
                <c:pt idx="1368">
                  <c:v>4.161</c:v>
                </c:pt>
                <c:pt idx="1369">
                  <c:v>3.922</c:v>
                </c:pt>
                <c:pt idx="1370">
                  <c:v>3.662</c:v>
                </c:pt>
                <c:pt idx="1371">
                  <c:v>3.382</c:v>
                </c:pt>
                <c:pt idx="1372">
                  <c:v>3.083</c:v>
                </c:pt>
                <c:pt idx="1373">
                  <c:v>2.796</c:v>
                </c:pt>
                <c:pt idx="1374">
                  <c:v>2.233</c:v>
                </c:pt>
                <c:pt idx="1375">
                  <c:v>1.904</c:v>
                </c:pt>
                <c:pt idx="1376">
                  <c:v>1.377</c:v>
                </c:pt>
                <c:pt idx="1377">
                  <c:v>0.987</c:v>
                </c:pt>
                <c:pt idx="1378">
                  <c:v>0.602</c:v>
                </c:pt>
                <c:pt idx="1379">
                  <c:v>0.212</c:v>
                </c:pt>
                <c:pt idx="1380">
                  <c:v>#¡CAMPO!</c:v>
                </c:pt>
                <c:pt idx="1381">
                  <c:v>-6.380</c:v>
                </c:pt>
                <c:pt idx="1382">
                  <c:v>4.677</c:v>
                </c:pt>
                <c:pt idx="1383">
                  <c:v>4.677</c:v>
                </c:pt>
                <c:pt idx="1384">
                  <c:v>-7.289</c:v>
                </c:pt>
                <c:pt idx="1385">
                  <c:v>-7.289</c:v>
                </c:pt>
                <c:pt idx="1386">
                  <c:v>0.123</c:v>
                </c:pt>
                <c:pt idx="1387">
                  <c:v>0.489</c:v>
                </c:pt>
                <c:pt idx="1388">
                  <c:v>0.992</c:v>
                </c:pt>
                <c:pt idx="1389">
                  <c:v>1.483</c:v>
                </c:pt>
                <c:pt idx="1390">
                  <c:v>1.966</c:v>
                </c:pt>
                <c:pt idx="1391">
                  <c:v>2.447</c:v>
                </c:pt>
                <c:pt idx="1392">
                  <c:v>3.122</c:v>
                </c:pt>
                <c:pt idx="1393">
                  <c:v>3.551</c:v>
                </c:pt>
                <c:pt idx="1394">
                  <c:v>4.221</c:v>
                </c:pt>
                <c:pt idx="1395">
                  <c:v>4.599</c:v>
                </c:pt>
                <c:pt idx="1396">
                  <c:v>4.974</c:v>
                </c:pt>
                <c:pt idx="1397">
                  <c:v>5.326</c:v>
                </c:pt>
                <c:pt idx="1398">
                  <c:v>5.653</c:v>
                </c:pt>
                <c:pt idx="1399">
                  <c:v>5.953</c:v>
                </c:pt>
                <c:pt idx="1400">
                  <c:v>6.226</c:v>
                </c:pt>
                <c:pt idx="1401">
                  <c:v>6.470</c:v>
                </c:pt>
                <c:pt idx="1402">
                  <c:v>6.684</c:v>
                </c:pt>
                <c:pt idx="1403">
                  <c:v>6.866</c:v>
                </c:pt>
                <c:pt idx="1404">
                  <c:v>7.010</c:v>
                </c:pt>
                <c:pt idx="1405">
                  <c:v>7.184</c:v>
                </c:pt>
                <c:pt idx="1406">
                  <c:v>7.249</c:v>
                </c:pt>
                <c:pt idx="1407">
                  <c:v>7.283</c:v>
                </c:pt>
                <c:pt idx="1408">
                  <c:v>7.283</c:v>
                </c:pt>
                <c:pt idx="1409">
                  <c:v>7.249</c:v>
                </c:pt>
                <c:pt idx="1410">
                  <c:v>7.181</c:v>
                </c:pt>
                <c:pt idx="1411">
                  <c:v>7.085</c:v>
                </c:pt>
                <c:pt idx="1412">
                  <c:v>6.858</c:v>
                </c:pt>
                <c:pt idx="1413">
                  <c:v>6.684</c:v>
                </c:pt>
                <c:pt idx="1414">
                  <c:v>6.480</c:v>
                </c:pt>
                <c:pt idx="1415">
                  <c:v>6.092</c:v>
                </c:pt>
                <c:pt idx="1416">
                  <c:v>5.651</c:v>
                </c:pt>
                <c:pt idx="1417">
                  <c:v>5.151</c:v>
                </c:pt>
                <c:pt idx="1418">
                  <c:v>4.598</c:v>
                </c:pt>
                <c:pt idx="1419">
                  <c:v>3.996</c:v>
                </c:pt>
                <c:pt idx="1420">
                  <c:v>3.352</c:v>
                </c:pt>
                <c:pt idx="1421">
                  <c:v>2.673</c:v>
                </c:pt>
                <c:pt idx="1422">
                  <c:v>1.944</c:v>
                </c:pt>
                <c:pt idx="1423">
                  <c:v>1.476</c:v>
                </c:pt>
                <c:pt idx="1424">
                  <c:v>1.109</c:v>
                </c:pt>
                <c:pt idx="1425">
                  <c:v>0.753</c:v>
                </c:pt>
                <c:pt idx="1426">
                  <c:v>0.248</c:v>
                </c:pt>
                <c:pt idx="1427">
                  <c:v>-7.169</c:v>
                </c:pt>
                <c:pt idx="1428">
                  <c:v>-8.584</c:v>
                </c:pt>
                <c:pt idx="1429">
                  <c:v>-8.584</c:v>
                </c:pt>
                <c:pt idx="1430">
                  <c:v>0.149</c:v>
                </c:pt>
                <c:pt idx="1431">
                  <c:v>0.582</c:v>
                </c:pt>
                <c:pt idx="1432">
                  <c:v>1.169</c:v>
                </c:pt>
                <c:pt idx="1433">
                  <c:v>1.746</c:v>
                </c:pt>
                <c:pt idx="1434">
                  <c:v>2.316</c:v>
                </c:pt>
                <c:pt idx="1435">
                  <c:v>2.878</c:v>
                </c:pt>
                <c:pt idx="1436">
                  <c:v>3.683</c:v>
                </c:pt>
                <c:pt idx="1437">
                  <c:v>4.196</c:v>
                </c:pt>
                <c:pt idx="1438">
                  <c:v>4.960</c:v>
                </c:pt>
                <c:pt idx="1439">
                  <c:v>5.417</c:v>
                </c:pt>
                <c:pt idx="1440">
                  <c:v>5.859</c:v>
                </c:pt>
                <c:pt idx="1441">
                  <c:v>6.273</c:v>
                </c:pt>
                <c:pt idx="1442">
                  <c:v>6.658</c:v>
                </c:pt>
                <c:pt idx="1443">
                  <c:v>7.013</c:v>
                </c:pt>
                <c:pt idx="1444">
                  <c:v>7.334</c:v>
                </c:pt>
                <c:pt idx="1445">
                  <c:v>7.621</c:v>
                </c:pt>
                <c:pt idx="1446">
                  <c:v>7.873</c:v>
                </c:pt>
                <c:pt idx="1447">
                  <c:v>8.088</c:v>
                </c:pt>
                <c:pt idx="1448">
                  <c:v>8.262</c:v>
                </c:pt>
                <c:pt idx="1449">
                  <c:v>8.460</c:v>
                </c:pt>
                <c:pt idx="1450">
                  <c:v>8.539</c:v>
                </c:pt>
                <c:pt idx="1451">
                  <c:v>8.579</c:v>
                </c:pt>
                <c:pt idx="1452">
                  <c:v>8.579</c:v>
                </c:pt>
                <c:pt idx="1453">
                  <c:v>8.539</c:v>
                </c:pt>
                <c:pt idx="1454">
                  <c:v>8.459</c:v>
                </c:pt>
                <c:pt idx="1455">
                  <c:v>8.342</c:v>
                </c:pt>
                <c:pt idx="1456">
                  <c:v>8.084</c:v>
                </c:pt>
                <c:pt idx="1457">
                  <c:v>7.873</c:v>
                </c:pt>
                <c:pt idx="1458">
                  <c:v>7.626</c:v>
                </c:pt>
                <c:pt idx="1459">
                  <c:v>7.177</c:v>
                </c:pt>
                <c:pt idx="1460">
                  <c:v>6.658</c:v>
                </c:pt>
                <c:pt idx="1461">
                  <c:v>6.069</c:v>
                </c:pt>
                <c:pt idx="1462">
                  <c:v>5.416</c:v>
                </c:pt>
                <c:pt idx="1463">
                  <c:v>4.707</c:v>
                </c:pt>
                <c:pt idx="1464">
                  <c:v>3.949</c:v>
                </c:pt>
                <c:pt idx="1465">
                  <c:v>3.149</c:v>
                </c:pt>
                <c:pt idx="1466">
                  <c:v>2.304</c:v>
                </c:pt>
                <c:pt idx="1467">
                  <c:v>1.743</c:v>
                </c:pt>
                <c:pt idx="1468">
                  <c:v>1.307</c:v>
                </c:pt>
                <c:pt idx="1469">
                  <c:v>0.882</c:v>
                </c:pt>
                <c:pt idx="1470">
                  <c:v>0.293</c:v>
                </c:pt>
                <c:pt idx="1471">
                  <c:v>-8.464</c:v>
                </c:pt>
                <c:pt idx="1472">
                  <c:v>-9.600</c:v>
                </c:pt>
                <c:pt idx="1473">
                  <c:v>-9.600</c:v>
                </c:pt>
                <c:pt idx="1474">
                  <c:v>0.169</c:v>
                </c:pt>
                <c:pt idx="1475">
                  <c:v>0.654</c:v>
                </c:pt>
                <c:pt idx="1476">
                  <c:v>1.307</c:v>
                </c:pt>
                <c:pt idx="1477">
                  <c:v>1.953</c:v>
                </c:pt>
                <c:pt idx="1478">
                  <c:v>2.590</c:v>
                </c:pt>
                <c:pt idx="1479">
                  <c:v>3.216</c:v>
                </c:pt>
                <c:pt idx="1480">
                  <c:v>4.122</c:v>
                </c:pt>
                <c:pt idx="1481">
                  <c:v>4.702</c:v>
                </c:pt>
                <c:pt idx="1482">
                  <c:v>5.539</c:v>
                </c:pt>
                <c:pt idx="1483">
                  <c:v>6.058</c:v>
                </c:pt>
                <c:pt idx="1484">
                  <c:v>6.552</c:v>
                </c:pt>
                <c:pt idx="1485">
                  <c:v>7.016</c:v>
                </c:pt>
                <c:pt idx="1486">
                  <c:v>7.447</c:v>
                </c:pt>
                <c:pt idx="1487">
                  <c:v>7.843</c:v>
                </c:pt>
                <c:pt idx="1488">
                  <c:v>8.202</c:v>
                </c:pt>
                <c:pt idx="1489">
                  <c:v>8.523</c:v>
                </c:pt>
                <c:pt idx="1490">
                  <c:v>8.805</c:v>
                </c:pt>
                <c:pt idx="1491">
                  <c:v>9.045</c:v>
                </c:pt>
                <c:pt idx="1492">
                  <c:v>9.243</c:v>
                </c:pt>
                <c:pt idx="1493">
                  <c:v>9.461</c:v>
                </c:pt>
                <c:pt idx="1494">
                  <c:v>9.549</c:v>
                </c:pt>
                <c:pt idx="1495">
                  <c:v>9.594</c:v>
                </c:pt>
                <c:pt idx="1496">
                  <c:v>9.594</c:v>
                </c:pt>
                <c:pt idx="1497">
                  <c:v>9.549</c:v>
                </c:pt>
                <c:pt idx="1498">
                  <c:v>9.460</c:v>
                </c:pt>
                <c:pt idx="1499">
                  <c:v>9.328</c:v>
                </c:pt>
                <c:pt idx="1500">
                  <c:v>9.044</c:v>
                </c:pt>
                <c:pt idx="1501">
                  <c:v>8.805</c:v>
                </c:pt>
                <c:pt idx="1502">
                  <c:v>8.525</c:v>
                </c:pt>
                <c:pt idx="1503">
                  <c:v>8.027</c:v>
                </c:pt>
                <c:pt idx="1504">
                  <c:v>7.446</c:v>
                </c:pt>
                <c:pt idx="1505">
                  <c:v>6.788</c:v>
                </c:pt>
                <c:pt idx="1506">
                  <c:v>6.058</c:v>
                </c:pt>
                <c:pt idx="1507">
                  <c:v>5.265</c:v>
                </c:pt>
                <c:pt idx="1508">
                  <c:v>4.416</c:v>
                </c:pt>
                <c:pt idx="1509">
                  <c:v>3.522</c:v>
                </c:pt>
                <c:pt idx="1510">
                  <c:v>2.587</c:v>
                </c:pt>
                <c:pt idx="1511">
                  <c:v>1.952</c:v>
                </c:pt>
                <c:pt idx="1512">
                  <c:v>1.463</c:v>
                </c:pt>
                <c:pt idx="1513">
                  <c:v>0.983</c:v>
                </c:pt>
                <c:pt idx="1514">
                  <c:v>0.328</c:v>
                </c:pt>
                <c:pt idx="1515">
                  <c:v>-9.480</c:v>
                </c:pt>
                <c:pt idx="1516">
                  <c:v>-9.201</c:v>
                </c:pt>
                <c:pt idx="1517">
                  <c:v>-1.765</c:v>
                </c:pt>
                <c:pt idx="1518">
                  <c:v>1.712</c:v>
                </c:pt>
                <c:pt idx="1519">
                  <c:v>3.522</c:v>
                </c:pt>
                <c:pt idx="1520">
                  <c:v>3.920</c:v>
                </c:pt>
                <c:pt idx="1521">
                  <c:v>4.270</c:v>
                </c:pt>
                <c:pt idx="1522">
                  <c:v>4.588</c:v>
                </c:pt>
                <c:pt idx="1523">
                  <c:v>4.743</c:v>
                </c:pt>
                <c:pt idx="1524">
                  <c:v>4.875</c:v>
                </c:pt>
                <c:pt idx="1525">
                  <c:v>5.065</c:v>
                </c:pt>
                <c:pt idx="1526">
                  <c:v>5.139</c:v>
                </c:pt>
                <c:pt idx="1527">
                  <c:v>5.193</c:v>
                </c:pt>
                <c:pt idx="1528">
                  <c:v>5.220</c:v>
                </c:pt>
                <c:pt idx="1529">
                  <c:v>5.220</c:v>
                </c:pt>
                <c:pt idx="1530">
                  <c:v>5.193</c:v>
                </c:pt>
                <c:pt idx="1531">
                  <c:v>5.144</c:v>
                </c:pt>
                <c:pt idx="1532">
                  <c:v>4.997</c:v>
                </c:pt>
                <c:pt idx="1533">
                  <c:v>4.888</c:v>
                </c:pt>
                <c:pt idx="1534">
                  <c:v>4.743</c:v>
                </c:pt>
                <c:pt idx="1535">
                  <c:v>4.573</c:v>
                </c:pt>
                <c:pt idx="1536">
                  <c:v>4.379</c:v>
                </c:pt>
                <c:pt idx="1537">
                  <c:v>4.161</c:v>
                </c:pt>
                <c:pt idx="1538">
                  <c:v>3.922</c:v>
                </c:pt>
                <c:pt idx="1539">
                  <c:v>3.662</c:v>
                </c:pt>
                <c:pt idx="1540">
                  <c:v>3.382</c:v>
                </c:pt>
                <c:pt idx="1541">
                  <c:v>3.083</c:v>
                </c:pt>
                <c:pt idx="1542">
                  <c:v>2.796</c:v>
                </c:pt>
                <c:pt idx="1543">
                  <c:v>2.233</c:v>
                </c:pt>
                <c:pt idx="1544">
                  <c:v>1.902</c:v>
                </c:pt>
                <c:pt idx="1545">
                  <c:v>1.376</c:v>
                </c:pt>
                <c:pt idx="1546">
                  <c:v>0.987</c:v>
                </c:pt>
                <c:pt idx="1547">
                  <c:v>0.602</c:v>
                </c:pt>
                <c:pt idx="1548">
                  <c:v>0.212</c:v>
                </c:pt>
                <c:pt idx="1549">
                  <c:v>#¡CAMPO!</c:v>
                </c:pt>
                <c:pt idx="1550">
                  <c:v>-6.380</c:v>
                </c:pt>
                <c:pt idx="1551">
                  <c:v>4.677</c:v>
                </c:pt>
                <c:pt idx="1552">
                  <c:v>4.677</c:v>
                </c:pt>
                <c:pt idx="1553">
                  <c:v>-7.289</c:v>
                </c:pt>
                <c:pt idx="1554">
                  <c:v>-7.289</c:v>
                </c:pt>
                <c:pt idx="1555">
                  <c:v>0.096</c:v>
                </c:pt>
                <c:pt idx="1556">
                  <c:v>0.491</c:v>
                </c:pt>
                <c:pt idx="1557">
                  <c:v>0.992</c:v>
                </c:pt>
                <c:pt idx="1558">
                  <c:v>1.483</c:v>
                </c:pt>
                <c:pt idx="1559">
                  <c:v>1.966</c:v>
                </c:pt>
                <c:pt idx="1560">
                  <c:v>2.446</c:v>
                </c:pt>
                <c:pt idx="1561">
                  <c:v>3.121</c:v>
                </c:pt>
                <c:pt idx="1562">
                  <c:v>3.551</c:v>
                </c:pt>
                <c:pt idx="1563">
                  <c:v>4.221</c:v>
                </c:pt>
                <c:pt idx="1564">
                  <c:v>4.599</c:v>
                </c:pt>
                <c:pt idx="1565">
                  <c:v>4.974</c:v>
                </c:pt>
                <c:pt idx="1566">
                  <c:v>5.326</c:v>
                </c:pt>
                <c:pt idx="1567">
                  <c:v>5.653</c:v>
                </c:pt>
                <c:pt idx="1568">
                  <c:v>5.953</c:v>
                </c:pt>
                <c:pt idx="1569">
                  <c:v>6.226</c:v>
                </c:pt>
                <c:pt idx="1570">
                  <c:v>6.470</c:v>
                </c:pt>
                <c:pt idx="1571">
                  <c:v>6.684</c:v>
                </c:pt>
                <c:pt idx="1572">
                  <c:v>6.869</c:v>
                </c:pt>
                <c:pt idx="1573">
                  <c:v>7.078</c:v>
                </c:pt>
                <c:pt idx="1574">
                  <c:v>7.181</c:v>
                </c:pt>
                <c:pt idx="1575">
                  <c:v>7.249</c:v>
                </c:pt>
                <c:pt idx="1576">
                  <c:v>7.283</c:v>
                </c:pt>
                <c:pt idx="1577">
                  <c:v>7.283</c:v>
                </c:pt>
                <c:pt idx="1578">
                  <c:v>7.249</c:v>
                </c:pt>
                <c:pt idx="1579">
                  <c:v>7.181</c:v>
                </c:pt>
                <c:pt idx="1580">
                  <c:v>7.085</c:v>
                </c:pt>
                <c:pt idx="1581">
                  <c:v>6.858</c:v>
                </c:pt>
                <c:pt idx="1582">
                  <c:v>6.684</c:v>
                </c:pt>
                <c:pt idx="1583">
                  <c:v>6.480</c:v>
                </c:pt>
                <c:pt idx="1584">
                  <c:v>6.092</c:v>
                </c:pt>
                <c:pt idx="1585">
                  <c:v>5.651</c:v>
                </c:pt>
                <c:pt idx="1586">
                  <c:v>5.151</c:v>
                </c:pt>
                <c:pt idx="1587">
                  <c:v>4.598</c:v>
                </c:pt>
                <c:pt idx="1588">
                  <c:v>3.996</c:v>
                </c:pt>
                <c:pt idx="1589">
                  <c:v>3.352</c:v>
                </c:pt>
                <c:pt idx="1590">
                  <c:v>2.673</c:v>
                </c:pt>
                <c:pt idx="1591">
                  <c:v>1.966</c:v>
                </c:pt>
                <c:pt idx="1592">
                  <c:v>1.215</c:v>
                </c:pt>
                <c:pt idx="1593">
                  <c:v>0.745</c:v>
                </c:pt>
                <c:pt idx="1594">
                  <c:v>0.248</c:v>
                </c:pt>
                <c:pt idx="1595">
                  <c:v>-7.169</c:v>
                </c:pt>
                <c:pt idx="1596">
                  <c:v>-8.584</c:v>
                </c:pt>
                <c:pt idx="1597">
                  <c:v>-8.584</c:v>
                </c:pt>
                <c:pt idx="1598">
                  <c:v>0.121</c:v>
                </c:pt>
                <c:pt idx="1599">
                  <c:v>0.582</c:v>
                </c:pt>
                <c:pt idx="1600">
                  <c:v>1.169</c:v>
                </c:pt>
                <c:pt idx="1601">
                  <c:v>1.746</c:v>
                </c:pt>
                <c:pt idx="1602">
                  <c:v>2.316</c:v>
                </c:pt>
                <c:pt idx="1603">
                  <c:v>2.878</c:v>
                </c:pt>
                <c:pt idx="1604">
                  <c:v>3.682</c:v>
                </c:pt>
                <c:pt idx="1605">
                  <c:v>4.196</c:v>
                </c:pt>
                <c:pt idx="1606">
                  <c:v>4.960</c:v>
                </c:pt>
                <c:pt idx="1607">
                  <c:v>5.417</c:v>
                </c:pt>
                <c:pt idx="1608">
                  <c:v>5.859</c:v>
                </c:pt>
                <c:pt idx="1609">
                  <c:v>6.273</c:v>
                </c:pt>
                <c:pt idx="1610">
                  <c:v>6.658</c:v>
                </c:pt>
                <c:pt idx="1611">
                  <c:v>7.013</c:v>
                </c:pt>
                <c:pt idx="1612">
                  <c:v>7.334</c:v>
                </c:pt>
                <c:pt idx="1613">
                  <c:v>7.621</c:v>
                </c:pt>
                <c:pt idx="1614">
                  <c:v>7.873</c:v>
                </c:pt>
                <c:pt idx="1615">
                  <c:v>8.089</c:v>
                </c:pt>
                <c:pt idx="1616">
                  <c:v>8.338</c:v>
                </c:pt>
                <c:pt idx="1617">
                  <c:v>8.459</c:v>
                </c:pt>
                <c:pt idx="1618">
                  <c:v>8.539</c:v>
                </c:pt>
                <c:pt idx="1619">
                  <c:v>8.579</c:v>
                </c:pt>
                <c:pt idx="1620">
                  <c:v>8.579</c:v>
                </c:pt>
                <c:pt idx="1621">
                  <c:v>8.539</c:v>
                </c:pt>
                <c:pt idx="1622">
                  <c:v>8.459</c:v>
                </c:pt>
                <c:pt idx="1623">
                  <c:v>8.342</c:v>
                </c:pt>
                <c:pt idx="1624">
                  <c:v>8.084</c:v>
                </c:pt>
                <c:pt idx="1625">
                  <c:v>7.873</c:v>
                </c:pt>
                <c:pt idx="1626">
                  <c:v>7.626</c:v>
                </c:pt>
                <c:pt idx="1627">
                  <c:v>7.177</c:v>
                </c:pt>
                <c:pt idx="1628">
                  <c:v>6.658</c:v>
                </c:pt>
                <c:pt idx="1629">
                  <c:v>6.069</c:v>
                </c:pt>
                <c:pt idx="1630">
                  <c:v>5.416</c:v>
                </c:pt>
                <c:pt idx="1631">
                  <c:v>4.707</c:v>
                </c:pt>
                <c:pt idx="1632">
                  <c:v>3.949</c:v>
                </c:pt>
                <c:pt idx="1633">
                  <c:v>3.149</c:v>
                </c:pt>
                <c:pt idx="1634">
                  <c:v>2.316</c:v>
                </c:pt>
                <c:pt idx="1635">
                  <c:v>1.446</c:v>
                </c:pt>
                <c:pt idx="1636">
                  <c:v>0.878</c:v>
                </c:pt>
                <c:pt idx="1637">
                  <c:v>0.293</c:v>
                </c:pt>
                <c:pt idx="1638">
                  <c:v>-8.464</c:v>
                </c:pt>
                <c:pt idx="1639">
                  <c:v>-9.600</c:v>
                </c:pt>
                <c:pt idx="1640">
                  <c:v>-9.600</c:v>
                </c:pt>
                <c:pt idx="1641">
                  <c:v>0.141</c:v>
                </c:pt>
                <c:pt idx="1642">
                  <c:v>0.654</c:v>
                </c:pt>
                <c:pt idx="1643">
                  <c:v>1.307</c:v>
                </c:pt>
                <c:pt idx="1644">
                  <c:v>1.953</c:v>
                </c:pt>
                <c:pt idx="1645">
                  <c:v>2.590</c:v>
                </c:pt>
                <c:pt idx="1646">
                  <c:v>3.216</c:v>
                </c:pt>
                <c:pt idx="1647">
                  <c:v>4.122</c:v>
                </c:pt>
                <c:pt idx="1648">
                  <c:v>4.702</c:v>
                </c:pt>
                <c:pt idx="1649">
                  <c:v>5.539</c:v>
                </c:pt>
                <c:pt idx="1650">
                  <c:v>6.058</c:v>
                </c:pt>
                <c:pt idx="1651">
                  <c:v>6.552</c:v>
                </c:pt>
                <c:pt idx="1652">
                  <c:v>7.016</c:v>
                </c:pt>
                <c:pt idx="1653">
                  <c:v>7.447</c:v>
                </c:pt>
                <c:pt idx="1654">
                  <c:v>7.843</c:v>
                </c:pt>
                <c:pt idx="1655">
                  <c:v>8.202</c:v>
                </c:pt>
                <c:pt idx="1656">
                  <c:v>8.523</c:v>
                </c:pt>
                <c:pt idx="1657">
                  <c:v>8.805</c:v>
                </c:pt>
                <c:pt idx="1658">
                  <c:v>9.046</c:v>
                </c:pt>
                <c:pt idx="1659">
                  <c:v>9.327</c:v>
                </c:pt>
                <c:pt idx="1660">
                  <c:v>9.460</c:v>
                </c:pt>
                <c:pt idx="1661">
                  <c:v>9.549</c:v>
                </c:pt>
                <c:pt idx="1662">
                  <c:v>9.594</c:v>
                </c:pt>
                <c:pt idx="1663">
                  <c:v>9.594</c:v>
                </c:pt>
                <c:pt idx="1664">
                  <c:v>9.549</c:v>
                </c:pt>
                <c:pt idx="1665">
                  <c:v>9.460</c:v>
                </c:pt>
                <c:pt idx="1666">
                  <c:v>9.328</c:v>
                </c:pt>
                <c:pt idx="1667">
                  <c:v>9.044</c:v>
                </c:pt>
                <c:pt idx="1668">
                  <c:v>8.805</c:v>
                </c:pt>
                <c:pt idx="1669">
                  <c:v>8.525</c:v>
                </c:pt>
                <c:pt idx="1670">
                  <c:v>8.027</c:v>
                </c:pt>
                <c:pt idx="1671">
                  <c:v>7.446</c:v>
                </c:pt>
                <c:pt idx="1672">
                  <c:v>6.788</c:v>
                </c:pt>
                <c:pt idx="1673">
                  <c:v>6.058</c:v>
                </c:pt>
                <c:pt idx="1674">
                  <c:v>5.265</c:v>
                </c:pt>
                <c:pt idx="1675">
                  <c:v>4.416</c:v>
                </c:pt>
                <c:pt idx="1676">
                  <c:v>3.522</c:v>
                </c:pt>
                <c:pt idx="1677">
                  <c:v>2.590</c:v>
                </c:pt>
                <c:pt idx="1678">
                  <c:v>1.628</c:v>
                </c:pt>
                <c:pt idx="1679">
                  <c:v>0.982</c:v>
                </c:pt>
                <c:pt idx="1680">
                  <c:v>0.328</c:v>
                </c:pt>
                <c:pt idx="1681">
                  <c:v>-9.480</c:v>
                </c:pt>
                <c:pt idx="1682">
                  <c:v>-9.201</c:v>
                </c:pt>
                <c:pt idx="1683">
                  <c:v>-1.765</c:v>
                </c:pt>
                <c:pt idx="1684">
                  <c:v>1.712</c:v>
                </c:pt>
                <c:pt idx="1685">
                  <c:v>3.522</c:v>
                </c:pt>
                <c:pt idx="1686">
                  <c:v>3.920</c:v>
                </c:pt>
                <c:pt idx="1687">
                  <c:v>4.270</c:v>
                </c:pt>
                <c:pt idx="1688">
                  <c:v>4.588</c:v>
                </c:pt>
                <c:pt idx="1689">
                  <c:v>4.743</c:v>
                </c:pt>
                <c:pt idx="1690">
                  <c:v>4.875</c:v>
                </c:pt>
                <c:pt idx="1691">
                  <c:v>5.065</c:v>
                </c:pt>
                <c:pt idx="1692">
                  <c:v>5.139</c:v>
                </c:pt>
                <c:pt idx="1693">
                  <c:v>5.193</c:v>
                </c:pt>
                <c:pt idx="1694">
                  <c:v>5.220</c:v>
                </c:pt>
                <c:pt idx="1695">
                  <c:v>5.220</c:v>
                </c:pt>
                <c:pt idx="1696">
                  <c:v>5.193</c:v>
                </c:pt>
                <c:pt idx="1697">
                  <c:v>5.141</c:v>
                </c:pt>
                <c:pt idx="1698">
                  <c:v>4.978</c:v>
                </c:pt>
                <c:pt idx="1699">
                  <c:v>4.892</c:v>
                </c:pt>
                <c:pt idx="1700">
                  <c:v>4.743</c:v>
                </c:pt>
                <c:pt idx="1701">
                  <c:v>4.573</c:v>
                </c:pt>
                <c:pt idx="1702">
                  <c:v>4.379</c:v>
                </c:pt>
                <c:pt idx="1703">
                  <c:v>4.161</c:v>
                </c:pt>
                <c:pt idx="1704">
                  <c:v>3.922</c:v>
                </c:pt>
                <c:pt idx="1705">
                  <c:v>3.662</c:v>
                </c:pt>
                <c:pt idx="1706">
                  <c:v>3.382</c:v>
                </c:pt>
                <c:pt idx="1707">
                  <c:v>3.083</c:v>
                </c:pt>
                <c:pt idx="1708">
                  <c:v>2.796</c:v>
                </c:pt>
                <c:pt idx="1709">
                  <c:v>2.249</c:v>
                </c:pt>
                <c:pt idx="1710">
                  <c:v>1.638</c:v>
                </c:pt>
                <c:pt idx="1711">
                  <c:v>1.374</c:v>
                </c:pt>
                <c:pt idx="1712">
                  <c:v>0.987</c:v>
                </c:pt>
                <c:pt idx="1713">
                  <c:v>0.602</c:v>
                </c:pt>
                <c:pt idx="1714">
                  <c:v>0.212</c:v>
                </c:pt>
                <c:pt idx="1715">
                  <c:v>#¡CAMPO!</c:v>
                </c:pt>
                <c:pt idx="1716">
                  <c:v>-6.380</c:v>
                </c:pt>
                <c:pt idx="1717">
                  <c:v>4.677</c:v>
                </c:pt>
                <c:pt idx="1718">
                  <c:v>4.677</c:v>
                </c:pt>
                <c:pt idx="1719">
                  <c:v>-7.289</c:v>
                </c:pt>
                <c:pt idx="1720">
                  <c:v>-7.289</c:v>
                </c:pt>
                <c:pt idx="1721">
                  <c:v>0.161</c:v>
                </c:pt>
                <c:pt idx="1722">
                  <c:v>0.992</c:v>
                </c:pt>
                <c:pt idx="1723">
                  <c:v>1.483</c:v>
                </c:pt>
                <c:pt idx="1724">
                  <c:v>1.966</c:v>
                </c:pt>
                <c:pt idx="1725">
                  <c:v>2.440</c:v>
                </c:pt>
                <c:pt idx="1726">
                  <c:v>2.882</c:v>
                </c:pt>
                <c:pt idx="1727">
                  <c:v>3.571</c:v>
                </c:pt>
                <c:pt idx="1728">
                  <c:v>4.221</c:v>
                </c:pt>
                <c:pt idx="1729">
                  <c:v>4.599</c:v>
                </c:pt>
                <c:pt idx="1730">
                  <c:v>4.974</c:v>
                </c:pt>
                <c:pt idx="1731">
                  <c:v>5.326</c:v>
                </c:pt>
                <c:pt idx="1732">
                  <c:v>5.653</c:v>
                </c:pt>
                <c:pt idx="1733">
                  <c:v>5.953</c:v>
                </c:pt>
                <c:pt idx="1734">
                  <c:v>6.226</c:v>
                </c:pt>
                <c:pt idx="1735">
                  <c:v>6.470</c:v>
                </c:pt>
                <c:pt idx="1736">
                  <c:v>6.684</c:v>
                </c:pt>
                <c:pt idx="1737">
                  <c:v>6.868</c:v>
                </c:pt>
                <c:pt idx="1738">
                  <c:v>7.078</c:v>
                </c:pt>
                <c:pt idx="1739">
                  <c:v>7.181</c:v>
                </c:pt>
                <c:pt idx="1740">
                  <c:v>7.249</c:v>
                </c:pt>
                <c:pt idx="1741">
                  <c:v>7.283</c:v>
                </c:pt>
                <c:pt idx="1742">
                  <c:v>7.283</c:v>
                </c:pt>
                <c:pt idx="1743">
                  <c:v>7.249</c:v>
                </c:pt>
                <c:pt idx="1744">
                  <c:v>7.181</c:v>
                </c:pt>
                <c:pt idx="1745">
                  <c:v>7.085</c:v>
                </c:pt>
                <c:pt idx="1746">
                  <c:v>6.858</c:v>
                </c:pt>
                <c:pt idx="1747">
                  <c:v>6.684</c:v>
                </c:pt>
                <c:pt idx="1748">
                  <c:v>6.480</c:v>
                </c:pt>
                <c:pt idx="1749">
                  <c:v>6.092</c:v>
                </c:pt>
                <c:pt idx="1750">
                  <c:v>5.651</c:v>
                </c:pt>
                <c:pt idx="1751">
                  <c:v>5.151</c:v>
                </c:pt>
                <c:pt idx="1752">
                  <c:v>4.598</c:v>
                </c:pt>
                <c:pt idx="1753">
                  <c:v>3.996</c:v>
                </c:pt>
                <c:pt idx="1754">
                  <c:v>3.352</c:v>
                </c:pt>
                <c:pt idx="1755">
                  <c:v>2.673</c:v>
                </c:pt>
                <c:pt idx="1756">
                  <c:v>1.966</c:v>
                </c:pt>
                <c:pt idx="1757">
                  <c:v>1.215</c:v>
                </c:pt>
                <c:pt idx="1758">
                  <c:v>0.745</c:v>
                </c:pt>
                <c:pt idx="1759">
                  <c:v>0.248</c:v>
                </c:pt>
                <c:pt idx="1760">
                  <c:v>-7.169</c:v>
                </c:pt>
                <c:pt idx="1761">
                  <c:v>-8.584</c:v>
                </c:pt>
                <c:pt idx="1762">
                  <c:v>-8.584</c:v>
                </c:pt>
                <c:pt idx="1763">
                  <c:v>0.188</c:v>
                </c:pt>
                <c:pt idx="1764">
                  <c:v>0.58</c:v>
                </c:pt>
                <c:pt idx="1765">
                  <c:v>1.169</c:v>
                </c:pt>
                <c:pt idx="1766">
                  <c:v>1.746</c:v>
                </c:pt>
                <c:pt idx="1767">
                  <c:v>2.316</c:v>
                </c:pt>
                <c:pt idx="1768">
                  <c:v>2.874</c:v>
                </c:pt>
                <c:pt idx="1769">
                  <c:v>3.408</c:v>
                </c:pt>
                <c:pt idx="1770">
                  <c:v>4.206</c:v>
                </c:pt>
                <c:pt idx="1771">
                  <c:v>4.960</c:v>
                </c:pt>
                <c:pt idx="1772">
                  <c:v>5.417</c:v>
                </c:pt>
                <c:pt idx="1773">
                  <c:v>5.859</c:v>
                </c:pt>
                <c:pt idx="1774">
                  <c:v>6.273</c:v>
                </c:pt>
                <c:pt idx="1775">
                  <c:v>6.658</c:v>
                </c:pt>
                <c:pt idx="1776">
                  <c:v>7.013</c:v>
                </c:pt>
                <c:pt idx="1777">
                  <c:v>7.334</c:v>
                </c:pt>
                <c:pt idx="1778">
                  <c:v>7.621</c:v>
                </c:pt>
                <c:pt idx="1779">
                  <c:v>7.873</c:v>
                </c:pt>
                <c:pt idx="1780">
                  <c:v>8.089</c:v>
                </c:pt>
                <c:pt idx="1781">
                  <c:v>8.338</c:v>
                </c:pt>
                <c:pt idx="1782">
                  <c:v>8.459</c:v>
                </c:pt>
                <c:pt idx="1783">
                  <c:v>8.539</c:v>
                </c:pt>
                <c:pt idx="1784">
                  <c:v>8.579</c:v>
                </c:pt>
                <c:pt idx="1785">
                  <c:v>8.579</c:v>
                </c:pt>
                <c:pt idx="1786">
                  <c:v>8.539</c:v>
                </c:pt>
                <c:pt idx="1787">
                  <c:v>8.459</c:v>
                </c:pt>
                <c:pt idx="1788">
                  <c:v>8.342</c:v>
                </c:pt>
                <c:pt idx="1789">
                  <c:v>8.084</c:v>
                </c:pt>
                <c:pt idx="1790">
                  <c:v>7.873</c:v>
                </c:pt>
                <c:pt idx="1791">
                  <c:v>7.626</c:v>
                </c:pt>
                <c:pt idx="1792">
                  <c:v>7.177</c:v>
                </c:pt>
                <c:pt idx="1793">
                  <c:v>6.658</c:v>
                </c:pt>
                <c:pt idx="1794">
                  <c:v>6.069</c:v>
                </c:pt>
                <c:pt idx="1795">
                  <c:v>5.416</c:v>
                </c:pt>
                <c:pt idx="1796">
                  <c:v>4.707</c:v>
                </c:pt>
                <c:pt idx="1797">
                  <c:v>3.949</c:v>
                </c:pt>
                <c:pt idx="1798">
                  <c:v>3.149</c:v>
                </c:pt>
                <c:pt idx="1799">
                  <c:v>2.316</c:v>
                </c:pt>
                <c:pt idx="1800">
                  <c:v>1.446</c:v>
                </c:pt>
                <c:pt idx="1801">
                  <c:v>0.878</c:v>
                </c:pt>
                <c:pt idx="1802">
                  <c:v>0.293</c:v>
                </c:pt>
                <c:pt idx="1803">
                  <c:v>-8.464</c:v>
                </c:pt>
                <c:pt idx="1804">
                  <c:v>-9.600</c:v>
                </c:pt>
                <c:pt idx="1805">
                  <c:v>-9.600</c:v>
                </c:pt>
                <c:pt idx="1806">
                  <c:v>0.21</c:v>
                </c:pt>
                <c:pt idx="1807">
                  <c:v>0.654</c:v>
                </c:pt>
                <c:pt idx="1808">
                  <c:v>1.307</c:v>
                </c:pt>
                <c:pt idx="1809">
                  <c:v>1.953</c:v>
                </c:pt>
                <c:pt idx="1810">
                  <c:v>2.590</c:v>
                </c:pt>
                <c:pt idx="1811">
                  <c:v>3.215</c:v>
                </c:pt>
                <c:pt idx="1812">
                  <c:v>3.821</c:v>
                </c:pt>
                <c:pt idx="1813">
                  <c:v>4.705</c:v>
                </c:pt>
                <c:pt idx="1814">
                  <c:v>5.539</c:v>
                </c:pt>
                <c:pt idx="1815">
                  <c:v>6.058</c:v>
                </c:pt>
                <c:pt idx="1816">
                  <c:v>6.552</c:v>
                </c:pt>
                <c:pt idx="1817">
                  <c:v>7.016</c:v>
                </c:pt>
                <c:pt idx="1818">
                  <c:v>7.447</c:v>
                </c:pt>
                <c:pt idx="1819">
                  <c:v>7.843</c:v>
                </c:pt>
                <c:pt idx="1820">
                  <c:v>8.202</c:v>
                </c:pt>
                <c:pt idx="1821">
                  <c:v>8.523</c:v>
                </c:pt>
                <c:pt idx="1822">
                  <c:v>8.805</c:v>
                </c:pt>
                <c:pt idx="1823">
                  <c:v>9.046</c:v>
                </c:pt>
                <c:pt idx="1824">
                  <c:v>9.326</c:v>
                </c:pt>
                <c:pt idx="1825">
                  <c:v>9.460</c:v>
                </c:pt>
                <c:pt idx="1826">
                  <c:v>9.549</c:v>
                </c:pt>
                <c:pt idx="1827">
                  <c:v>9.594</c:v>
                </c:pt>
                <c:pt idx="1828">
                  <c:v>9.594</c:v>
                </c:pt>
                <c:pt idx="1829">
                  <c:v>9.549</c:v>
                </c:pt>
                <c:pt idx="1830">
                  <c:v>9.460</c:v>
                </c:pt>
                <c:pt idx="1831">
                  <c:v>9.328</c:v>
                </c:pt>
                <c:pt idx="1832">
                  <c:v>9.044</c:v>
                </c:pt>
                <c:pt idx="1833">
                  <c:v>8.805</c:v>
                </c:pt>
                <c:pt idx="1834">
                  <c:v>8.525</c:v>
                </c:pt>
                <c:pt idx="1835">
                  <c:v>8.027</c:v>
                </c:pt>
                <c:pt idx="1836">
                  <c:v>7.446</c:v>
                </c:pt>
                <c:pt idx="1837">
                  <c:v>6.788</c:v>
                </c:pt>
                <c:pt idx="1838">
                  <c:v>6.058</c:v>
                </c:pt>
                <c:pt idx="1839">
                  <c:v>5.265</c:v>
                </c:pt>
                <c:pt idx="1840">
                  <c:v>4.416</c:v>
                </c:pt>
                <c:pt idx="1841">
                  <c:v>3.522</c:v>
                </c:pt>
                <c:pt idx="1842">
                  <c:v>2.590</c:v>
                </c:pt>
                <c:pt idx="1843">
                  <c:v>1.628</c:v>
                </c:pt>
                <c:pt idx="1844">
                  <c:v>0.982</c:v>
                </c:pt>
                <c:pt idx="1845">
                  <c:v>0.328</c:v>
                </c:pt>
                <c:pt idx="1846">
                  <c:v>-9.480</c:v>
                </c:pt>
                <c:pt idx="1847">
                  <c:v>-9.201</c:v>
                </c:pt>
                <c:pt idx="1848">
                  <c:v>-1.765</c:v>
                </c:pt>
                <c:pt idx="1849">
                  <c:v>1.712</c:v>
                </c:pt>
                <c:pt idx="1850">
                  <c:v>3.522</c:v>
                </c:pt>
                <c:pt idx="1851">
                  <c:v>3.920</c:v>
                </c:pt>
                <c:pt idx="1852">
                  <c:v>4.270</c:v>
                </c:pt>
                <c:pt idx="1853">
                  <c:v>4.588</c:v>
                </c:pt>
                <c:pt idx="1854">
                  <c:v>4.743</c:v>
                </c:pt>
                <c:pt idx="1855">
                  <c:v>4.875</c:v>
                </c:pt>
                <c:pt idx="1856">
                  <c:v>5.065</c:v>
                </c:pt>
                <c:pt idx="1857">
                  <c:v>5.139</c:v>
                </c:pt>
                <c:pt idx="1858">
                  <c:v>5.193</c:v>
                </c:pt>
                <c:pt idx="1859">
                  <c:v>5.220</c:v>
                </c:pt>
                <c:pt idx="1860">
                  <c:v>5.220</c:v>
                </c:pt>
                <c:pt idx="1861">
                  <c:v>5.193</c:v>
                </c:pt>
                <c:pt idx="1862">
                  <c:v>5.141</c:v>
                </c:pt>
                <c:pt idx="1863">
                  <c:v>4.983</c:v>
                </c:pt>
                <c:pt idx="1864">
                  <c:v>4.891</c:v>
                </c:pt>
                <c:pt idx="1865">
                  <c:v>4.743</c:v>
                </c:pt>
                <c:pt idx="1866">
                  <c:v>4.573</c:v>
                </c:pt>
                <c:pt idx="1867">
                  <c:v>4.379</c:v>
                </c:pt>
                <c:pt idx="1868">
                  <c:v>4.161</c:v>
                </c:pt>
                <c:pt idx="1869">
                  <c:v>3.922</c:v>
                </c:pt>
                <c:pt idx="1870">
                  <c:v>3.662</c:v>
                </c:pt>
                <c:pt idx="1871">
                  <c:v>3.382</c:v>
                </c:pt>
                <c:pt idx="1872">
                  <c:v>3.083</c:v>
                </c:pt>
                <c:pt idx="1873">
                  <c:v>2.796</c:v>
                </c:pt>
                <c:pt idx="1874">
                  <c:v>2.264</c:v>
                </c:pt>
                <c:pt idx="1875">
                  <c:v>1.700</c:v>
                </c:pt>
                <c:pt idx="1876">
                  <c:v>1.365</c:v>
                </c:pt>
                <c:pt idx="1877">
                  <c:v>0.987</c:v>
                </c:pt>
                <c:pt idx="1878">
                  <c:v>0.602</c:v>
                </c:pt>
                <c:pt idx="1879">
                  <c:v>0.229</c:v>
                </c:pt>
                <c:pt idx="1880">
                  <c:v>#¡CAMPO!</c:v>
                </c:pt>
                <c:pt idx="1881">
                  <c:v>-6.379</c:v>
                </c:pt>
                <c:pt idx="1882">
                  <c:v>4.677</c:v>
                </c:pt>
                <c:pt idx="1883">
                  <c:v>4.677</c:v>
                </c:pt>
                <c:pt idx="1884">
                  <c:v>-7.289</c:v>
                </c:pt>
                <c:pt idx="1885">
                  <c:v>-7.289</c:v>
                </c:pt>
                <c:pt idx="1886">
                  <c:v>0.18</c:v>
                </c:pt>
                <c:pt idx="1887">
                  <c:v>0.992</c:v>
                </c:pt>
                <c:pt idx="1888">
                  <c:v>1.483</c:v>
                </c:pt>
                <c:pt idx="1889">
                  <c:v>1.966</c:v>
                </c:pt>
                <c:pt idx="1890">
                  <c:v>2.440</c:v>
                </c:pt>
                <c:pt idx="1891">
                  <c:v>2.882</c:v>
                </c:pt>
                <c:pt idx="1892">
                  <c:v>3.571</c:v>
                </c:pt>
                <c:pt idx="1893">
                  <c:v>4.221</c:v>
                </c:pt>
                <c:pt idx="1894">
                  <c:v>4.599</c:v>
                </c:pt>
                <c:pt idx="1895">
                  <c:v>4.974</c:v>
                </c:pt>
                <c:pt idx="1896">
                  <c:v>5.326</c:v>
                </c:pt>
                <c:pt idx="1897">
                  <c:v>5.653</c:v>
                </c:pt>
                <c:pt idx="1898">
                  <c:v>5.953</c:v>
                </c:pt>
                <c:pt idx="1899">
                  <c:v>6.226</c:v>
                </c:pt>
                <c:pt idx="1900">
                  <c:v>6.470</c:v>
                </c:pt>
                <c:pt idx="1901">
                  <c:v>6.684</c:v>
                </c:pt>
                <c:pt idx="1902">
                  <c:v>6.866</c:v>
                </c:pt>
                <c:pt idx="1903">
                  <c:v>7.010</c:v>
                </c:pt>
                <c:pt idx="1904">
                  <c:v>7.184</c:v>
                </c:pt>
                <c:pt idx="1905">
                  <c:v>7.249</c:v>
                </c:pt>
                <c:pt idx="1906">
                  <c:v>7.283</c:v>
                </c:pt>
                <c:pt idx="1907">
                  <c:v>7.283</c:v>
                </c:pt>
                <c:pt idx="1908">
                  <c:v>7.249</c:v>
                </c:pt>
                <c:pt idx="1909">
                  <c:v>7.181</c:v>
                </c:pt>
                <c:pt idx="1910">
                  <c:v>7.085</c:v>
                </c:pt>
                <c:pt idx="1911">
                  <c:v>6.858</c:v>
                </c:pt>
                <c:pt idx="1912">
                  <c:v>6.684</c:v>
                </c:pt>
                <c:pt idx="1913">
                  <c:v>6.480</c:v>
                </c:pt>
                <c:pt idx="1914">
                  <c:v>6.092</c:v>
                </c:pt>
                <c:pt idx="1915">
                  <c:v>5.651</c:v>
                </c:pt>
                <c:pt idx="1916">
                  <c:v>5.151</c:v>
                </c:pt>
                <c:pt idx="1917">
                  <c:v>4.598</c:v>
                </c:pt>
                <c:pt idx="1918">
                  <c:v>3.996</c:v>
                </c:pt>
                <c:pt idx="1919">
                  <c:v>3.352</c:v>
                </c:pt>
                <c:pt idx="1920">
                  <c:v>2.673</c:v>
                </c:pt>
                <c:pt idx="1921">
                  <c:v>1.966</c:v>
                </c:pt>
                <c:pt idx="1922">
                  <c:v>1.215</c:v>
                </c:pt>
                <c:pt idx="1923">
                  <c:v>0.745</c:v>
                </c:pt>
                <c:pt idx="1924">
                  <c:v>0.248</c:v>
                </c:pt>
                <c:pt idx="1925">
                  <c:v>-7.169</c:v>
                </c:pt>
                <c:pt idx="1926">
                  <c:v>-8.584</c:v>
                </c:pt>
                <c:pt idx="1927">
                  <c:v>-8.584</c:v>
                </c:pt>
                <c:pt idx="1928">
                  <c:v>0.208</c:v>
                </c:pt>
                <c:pt idx="1929">
                  <c:v>0.579</c:v>
                </c:pt>
                <c:pt idx="1930">
                  <c:v>1.169</c:v>
                </c:pt>
                <c:pt idx="1931">
                  <c:v>1.746</c:v>
                </c:pt>
                <c:pt idx="1932">
                  <c:v>2.316</c:v>
                </c:pt>
                <c:pt idx="1933">
                  <c:v>2.874</c:v>
                </c:pt>
                <c:pt idx="1934">
                  <c:v>3.408</c:v>
                </c:pt>
                <c:pt idx="1935">
                  <c:v>4.206</c:v>
                </c:pt>
                <c:pt idx="1936">
                  <c:v>4.960</c:v>
                </c:pt>
                <c:pt idx="1937">
                  <c:v>5.417</c:v>
                </c:pt>
                <c:pt idx="1938">
                  <c:v>5.859</c:v>
                </c:pt>
                <c:pt idx="1939">
                  <c:v>6.273</c:v>
                </c:pt>
                <c:pt idx="1940">
                  <c:v>6.658</c:v>
                </c:pt>
                <c:pt idx="1941">
                  <c:v>7.013</c:v>
                </c:pt>
                <c:pt idx="1942">
                  <c:v>7.334</c:v>
                </c:pt>
                <c:pt idx="1943">
                  <c:v>7.621</c:v>
                </c:pt>
                <c:pt idx="1944">
                  <c:v>7.873</c:v>
                </c:pt>
                <c:pt idx="1945">
                  <c:v>8.088</c:v>
                </c:pt>
                <c:pt idx="1946">
                  <c:v>8.262</c:v>
                </c:pt>
                <c:pt idx="1947">
                  <c:v>8.460</c:v>
                </c:pt>
                <c:pt idx="1948">
                  <c:v>8.539</c:v>
                </c:pt>
                <c:pt idx="1949">
                  <c:v>8.579</c:v>
                </c:pt>
                <c:pt idx="1950">
                  <c:v>8.579</c:v>
                </c:pt>
                <c:pt idx="1951">
                  <c:v>8.539</c:v>
                </c:pt>
                <c:pt idx="1952">
                  <c:v>8.459</c:v>
                </c:pt>
                <c:pt idx="1953">
                  <c:v>8.342</c:v>
                </c:pt>
                <c:pt idx="1954">
                  <c:v>8.084</c:v>
                </c:pt>
                <c:pt idx="1955">
                  <c:v>7.873</c:v>
                </c:pt>
                <c:pt idx="1956">
                  <c:v>7.626</c:v>
                </c:pt>
                <c:pt idx="1957">
                  <c:v>7.177</c:v>
                </c:pt>
                <c:pt idx="1958">
                  <c:v>6.658</c:v>
                </c:pt>
                <c:pt idx="1959">
                  <c:v>6.069</c:v>
                </c:pt>
                <c:pt idx="1960">
                  <c:v>5.416</c:v>
                </c:pt>
                <c:pt idx="1961">
                  <c:v>4.707</c:v>
                </c:pt>
                <c:pt idx="1962">
                  <c:v>3.949</c:v>
                </c:pt>
                <c:pt idx="1963">
                  <c:v>3.149</c:v>
                </c:pt>
                <c:pt idx="1964">
                  <c:v>2.316</c:v>
                </c:pt>
                <c:pt idx="1965">
                  <c:v>1.446</c:v>
                </c:pt>
                <c:pt idx="1966">
                  <c:v>0.878</c:v>
                </c:pt>
                <c:pt idx="1967">
                  <c:v>0.293</c:v>
                </c:pt>
                <c:pt idx="1968">
                  <c:v>-8.464</c:v>
                </c:pt>
                <c:pt idx="1969">
                  <c:v>-9.600</c:v>
                </c:pt>
                <c:pt idx="1970">
                  <c:v>-9.600</c:v>
                </c:pt>
                <c:pt idx="1971">
                  <c:v>0.23</c:v>
                </c:pt>
                <c:pt idx="1972">
                  <c:v>0.653</c:v>
                </c:pt>
                <c:pt idx="1973">
                  <c:v>1.307</c:v>
                </c:pt>
                <c:pt idx="1974">
                  <c:v>1.953</c:v>
                </c:pt>
                <c:pt idx="1975">
                  <c:v>2.590</c:v>
                </c:pt>
                <c:pt idx="1976">
                  <c:v>3.215</c:v>
                </c:pt>
                <c:pt idx="1977">
                  <c:v>3.821</c:v>
                </c:pt>
                <c:pt idx="1978">
                  <c:v>4.705</c:v>
                </c:pt>
                <c:pt idx="1979">
                  <c:v>5.539</c:v>
                </c:pt>
                <c:pt idx="1980">
                  <c:v>6.058</c:v>
                </c:pt>
                <c:pt idx="1981">
                  <c:v>6.552</c:v>
                </c:pt>
                <c:pt idx="1982">
                  <c:v>7.016</c:v>
                </c:pt>
                <c:pt idx="1983">
                  <c:v>7.447</c:v>
                </c:pt>
                <c:pt idx="1984">
                  <c:v>7.843</c:v>
                </c:pt>
                <c:pt idx="1985">
                  <c:v>8.202</c:v>
                </c:pt>
                <c:pt idx="1986">
                  <c:v>8.523</c:v>
                </c:pt>
                <c:pt idx="1987">
                  <c:v>8.805</c:v>
                </c:pt>
                <c:pt idx="1988">
                  <c:v>9.045</c:v>
                </c:pt>
                <c:pt idx="1989">
                  <c:v>9.243</c:v>
                </c:pt>
                <c:pt idx="1990">
                  <c:v>9.461</c:v>
                </c:pt>
                <c:pt idx="1991">
                  <c:v>9.549</c:v>
                </c:pt>
                <c:pt idx="1992">
                  <c:v>9.594</c:v>
                </c:pt>
                <c:pt idx="1993">
                  <c:v>9.594</c:v>
                </c:pt>
                <c:pt idx="1994">
                  <c:v>9.549</c:v>
                </c:pt>
                <c:pt idx="1995">
                  <c:v>9.460</c:v>
                </c:pt>
                <c:pt idx="1996">
                  <c:v>9.328</c:v>
                </c:pt>
                <c:pt idx="1997">
                  <c:v>9.044</c:v>
                </c:pt>
                <c:pt idx="1998">
                  <c:v>8.805</c:v>
                </c:pt>
                <c:pt idx="1999">
                  <c:v>8.525</c:v>
                </c:pt>
                <c:pt idx="2000">
                  <c:v>8.027</c:v>
                </c:pt>
                <c:pt idx="2001">
                  <c:v>7.446</c:v>
                </c:pt>
                <c:pt idx="2002">
                  <c:v>6.788</c:v>
                </c:pt>
                <c:pt idx="2003">
                  <c:v>6.058</c:v>
                </c:pt>
                <c:pt idx="2004">
                  <c:v>5.265</c:v>
                </c:pt>
                <c:pt idx="2005">
                  <c:v>4.416</c:v>
                </c:pt>
                <c:pt idx="2006">
                  <c:v>3.522</c:v>
                </c:pt>
                <c:pt idx="2007">
                  <c:v>2.590</c:v>
                </c:pt>
                <c:pt idx="2008">
                  <c:v>1.628</c:v>
                </c:pt>
                <c:pt idx="2009">
                  <c:v>0.982</c:v>
                </c:pt>
                <c:pt idx="2010">
                  <c:v>0.328</c:v>
                </c:pt>
                <c:pt idx="2011">
                  <c:v>-9.480</c:v>
                </c:pt>
                <c:pt idx="2012">
                  <c:v>-9.201</c:v>
                </c:pt>
                <c:pt idx="2013">
                  <c:v>-1.765</c:v>
                </c:pt>
                <c:pt idx="2014">
                  <c:v>1.712</c:v>
                </c:pt>
                <c:pt idx="2015">
                  <c:v>3.522</c:v>
                </c:pt>
                <c:pt idx="2016">
                  <c:v>3.920</c:v>
                </c:pt>
                <c:pt idx="2017">
                  <c:v>4.270</c:v>
                </c:pt>
                <c:pt idx="2018">
                  <c:v>4.588</c:v>
                </c:pt>
                <c:pt idx="2019">
                  <c:v>4.743</c:v>
                </c:pt>
                <c:pt idx="2020">
                  <c:v>4.875</c:v>
                </c:pt>
                <c:pt idx="2021">
                  <c:v>5.065</c:v>
                </c:pt>
                <c:pt idx="2022">
                  <c:v>5.139</c:v>
                </c:pt>
                <c:pt idx="2023">
                  <c:v>5.193</c:v>
                </c:pt>
                <c:pt idx="2024">
                  <c:v>5.220</c:v>
                </c:pt>
                <c:pt idx="2025">
                  <c:v>5.220</c:v>
                </c:pt>
                <c:pt idx="2026">
                  <c:v>5.193</c:v>
                </c:pt>
                <c:pt idx="2027">
                  <c:v>5.144</c:v>
                </c:pt>
                <c:pt idx="2028">
                  <c:v>4.997</c:v>
                </c:pt>
                <c:pt idx="2029">
                  <c:v>4.888</c:v>
                </c:pt>
                <c:pt idx="2030">
                  <c:v>4.743</c:v>
                </c:pt>
                <c:pt idx="2031">
                  <c:v>4.573</c:v>
                </c:pt>
                <c:pt idx="2032">
                  <c:v>4.379</c:v>
                </c:pt>
                <c:pt idx="2033">
                  <c:v>4.161</c:v>
                </c:pt>
                <c:pt idx="2034">
                  <c:v>3.922</c:v>
                </c:pt>
                <c:pt idx="2035">
                  <c:v>3.662</c:v>
                </c:pt>
                <c:pt idx="2036">
                  <c:v>3.382</c:v>
                </c:pt>
                <c:pt idx="2037">
                  <c:v>3.083</c:v>
                </c:pt>
                <c:pt idx="2038">
                  <c:v>2.796</c:v>
                </c:pt>
                <c:pt idx="2039">
                  <c:v>2.264</c:v>
                </c:pt>
                <c:pt idx="2040">
                  <c:v>1.700</c:v>
                </c:pt>
                <c:pt idx="2041">
                  <c:v>1.365</c:v>
                </c:pt>
                <c:pt idx="2042">
                  <c:v>0.987</c:v>
                </c:pt>
                <c:pt idx="2043">
                  <c:v>0.602</c:v>
                </c:pt>
                <c:pt idx="2044">
                  <c:v>0.228</c:v>
                </c:pt>
                <c:pt idx="2045">
                  <c:v>#¡CAMPO!</c:v>
                </c:pt>
                <c:pt idx="2046">
                  <c:v>-6.379</c:v>
                </c:pt>
                <c:pt idx="2047">
                  <c:v>4.677</c:v>
                </c:pt>
                <c:pt idx="2048">
                  <c:v>4.677</c:v>
                </c:pt>
                <c:pt idx="2049">
                  <c:v>-7.289</c:v>
                </c:pt>
                <c:pt idx="2050">
                  <c:v>-7.289</c:v>
                </c:pt>
                <c:pt idx="2051">
                  <c:v>0.198</c:v>
                </c:pt>
                <c:pt idx="2052">
                  <c:v>0.992</c:v>
                </c:pt>
                <c:pt idx="2053">
                  <c:v>1.483</c:v>
                </c:pt>
                <c:pt idx="2054">
                  <c:v>1.966</c:v>
                </c:pt>
                <c:pt idx="2055">
                  <c:v>2.440</c:v>
                </c:pt>
                <c:pt idx="2056">
                  <c:v>2.882</c:v>
                </c:pt>
                <c:pt idx="2057">
                  <c:v>3.571</c:v>
                </c:pt>
                <c:pt idx="2058">
                  <c:v>4.221</c:v>
                </c:pt>
                <c:pt idx="2059">
                  <c:v>4.599</c:v>
                </c:pt>
                <c:pt idx="2060">
                  <c:v>4.974</c:v>
                </c:pt>
                <c:pt idx="2061">
                  <c:v>5.326</c:v>
                </c:pt>
                <c:pt idx="2062">
                  <c:v>5.653</c:v>
                </c:pt>
                <c:pt idx="2063">
                  <c:v>5.953</c:v>
                </c:pt>
                <c:pt idx="2064">
                  <c:v>6.226</c:v>
                </c:pt>
                <c:pt idx="2065">
                  <c:v>6.472</c:v>
                </c:pt>
                <c:pt idx="2066">
                  <c:v>6.665</c:v>
                </c:pt>
                <c:pt idx="2067">
                  <c:v>6.946</c:v>
                </c:pt>
                <c:pt idx="2068">
                  <c:v>7.080</c:v>
                </c:pt>
                <c:pt idx="2069">
                  <c:v>7.181</c:v>
                </c:pt>
                <c:pt idx="2070">
                  <c:v>7.249</c:v>
                </c:pt>
                <c:pt idx="2071">
                  <c:v>7.283</c:v>
                </c:pt>
                <c:pt idx="2072">
                  <c:v>7.283</c:v>
                </c:pt>
                <c:pt idx="2073">
                  <c:v>7.249</c:v>
                </c:pt>
                <c:pt idx="2074">
                  <c:v>7.181</c:v>
                </c:pt>
                <c:pt idx="2075">
                  <c:v>7.023</c:v>
                </c:pt>
                <c:pt idx="2076">
                  <c:v>6.866</c:v>
                </c:pt>
                <c:pt idx="2077">
                  <c:v>6.684</c:v>
                </c:pt>
                <c:pt idx="2078">
                  <c:v>6.480</c:v>
                </c:pt>
                <c:pt idx="2079">
                  <c:v>6.092</c:v>
                </c:pt>
                <c:pt idx="2080">
                  <c:v>5.651</c:v>
                </c:pt>
                <c:pt idx="2081">
                  <c:v>5.151</c:v>
                </c:pt>
                <c:pt idx="2082">
                  <c:v>4.598</c:v>
                </c:pt>
                <c:pt idx="2083">
                  <c:v>3.996</c:v>
                </c:pt>
                <c:pt idx="2084">
                  <c:v>3.352</c:v>
                </c:pt>
                <c:pt idx="2085">
                  <c:v>2.673</c:v>
                </c:pt>
                <c:pt idx="2086">
                  <c:v>1.944</c:v>
                </c:pt>
                <c:pt idx="2087">
                  <c:v>1.483</c:v>
                </c:pt>
                <c:pt idx="2088">
                  <c:v>1.015</c:v>
                </c:pt>
                <c:pt idx="2089">
                  <c:v>0.225</c:v>
                </c:pt>
                <c:pt idx="2090">
                  <c:v>-7.169</c:v>
                </c:pt>
                <c:pt idx="2091">
                  <c:v>-8.584</c:v>
                </c:pt>
                <c:pt idx="2092">
                  <c:v>-8.584</c:v>
                </c:pt>
                <c:pt idx="2093">
                  <c:v>0.228</c:v>
                </c:pt>
                <c:pt idx="2094">
                  <c:v>0.578</c:v>
                </c:pt>
                <c:pt idx="2095">
                  <c:v>1.169</c:v>
                </c:pt>
                <c:pt idx="2096">
                  <c:v>1.746</c:v>
                </c:pt>
                <c:pt idx="2097">
                  <c:v>2.316</c:v>
                </c:pt>
                <c:pt idx="2098">
                  <c:v>2.874</c:v>
                </c:pt>
                <c:pt idx="2099">
                  <c:v>3.408</c:v>
                </c:pt>
                <c:pt idx="2100">
                  <c:v>4.206</c:v>
                </c:pt>
                <c:pt idx="2101">
                  <c:v>4.960</c:v>
                </c:pt>
                <c:pt idx="2102">
                  <c:v>5.417</c:v>
                </c:pt>
                <c:pt idx="2103">
                  <c:v>5.859</c:v>
                </c:pt>
                <c:pt idx="2104">
                  <c:v>6.273</c:v>
                </c:pt>
                <c:pt idx="2105">
                  <c:v>6.658</c:v>
                </c:pt>
                <c:pt idx="2106">
                  <c:v>7.013</c:v>
                </c:pt>
                <c:pt idx="2107">
                  <c:v>7.334</c:v>
                </c:pt>
                <c:pt idx="2108">
                  <c:v>7.622</c:v>
                </c:pt>
                <c:pt idx="2109">
                  <c:v>7.847</c:v>
                </c:pt>
                <c:pt idx="2110">
                  <c:v>7.983</c:v>
                </c:pt>
                <c:pt idx="2111">
                  <c:v>8.181</c:v>
                </c:pt>
                <c:pt idx="2112">
                  <c:v>8.339</c:v>
                </c:pt>
                <c:pt idx="2113">
                  <c:v>8.459</c:v>
                </c:pt>
                <c:pt idx="2114">
                  <c:v>8.539</c:v>
                </c:pt>
                <c:pt idx="2115">
                  <c:v>8.579</c:v>
                </c:pt>
                <c:pt idx="2116">
                  <c:v>8.579</c:v>
                </c:pt>
                <c:pt idx="2117">
                  <c:v>8.539</c:v>
                </c:pt>
                <c:pt idx="2118">
                  <c:v>8.459</c:v>
                </c:pt>
                <c:pt idx="2119">
                  <c:v>8.269</c:v>
                </c:pt>
                <c:pt idx="2120">
                  <c:v>8.088</c:v>
                </c:pt>
                <c:pt idx="2121">
                  <c:v>7.873</c:v>
                </c:pt>
                <c:pt idx="2122">
                  <c:v>7.626</c:v>
                </c:pt>
                <c:pt idx="2123">
                  <c:v>7.177</c:v>
                </c:pt>
                <c:pt idx="2124">
                  <c:v>6.658</c:v>
                </c:pt>
                <c:pt idx="2125">
                  <c:v>6.069</c:v>
                </c:pt>
                <c:pt idx="2126">
                  <c:v>5.416</c:v>
                </c:pt>
                <c:pt idx="2127">
                  <c:v>4.707</c:v>
                </c:pt>
                <c:pt idx="2128">
                  <c:v>3.949</c:v>
                </c:pt>
                <c:pt idx="2129">
                  <c:v>3.149</c:v>
                </c:pt>
                <c:pt idx="2130">
                  <c:v>2.304</c:v>
                </c:pt>
                <c:pt idx="2131">
                  <c:v>1.746</c:v>
                </c:pt>
                <c:pt idx="2132">
                  <c:v>1.181</c:v>
                </c:pt>
                <c:pt idx="2133">
                  <c:v>0.281</c:v>
                </c:pt>
                <c:pt idx="2134">
                  <c:v>-8.464</c:v>
                </c:pt>
                <c:pt idx="2135">
                  <c:v>-9.600</c:v>
                </c:pt>
                <c:pt idx="2136">
                  <c:v>-9.600</c:v>
                </c:pt>
                <c:pt idx="2137">
                  <c:v>0.25</c:v>
                </c:pt>
                <c:pt idx="2138">
                  <c:v>0.653</c:v>
                </c:pt>
                <c:pt idx="2139">
                  <c:v>1.307</c:v>
                </c:pt>
                <c:pt idx="2140">
                  <c:v>1.953</c:v>
                </c:pt>
                <c:pt idx="2141">
                  <c:v>2.590</c:v>
                </c:pt>
                <c:pt idx="2142">
                  <c:v>3.215</c:v>
                </c:pt>
                <c:pt idx="2143">
                  <c:v>3.821</c:v>
                </c:pt>
                <c:pt idx="2144">
                  <c:v>4.705</c:v>
                </c:pt>
                <c:pt idx="2145">
                  <c:v>5.539</c:v>
                </c:pt>
                <c:pt idx="2146">
                  <c:v>6.058</c:v>
                </c:pt>
                <c:pt idx="2147">
                  <c:v>6.552</c:v>
                </c:pt>
                <c:pt idx="2148">
                  <c:v>7.016</c:v>
                </c:pt>
                <c:pt idx="2149">
                  <c:v>7.447</c:v>
                </c:pt>
                <c:pt idx="2150">
                  <c:v>7.843</c:v>
                </c:pt>
                <c:pt idx="2151">
                  <c:v>8.202</c:v>
                </c:pt>
                <c:pt idx="2152">
                  <c:v>8.524</c:v>
                </c:pt>
                <c:pt idx="2153">
                  <c:v>8.773</c:v>
                </c:pt>
                <c:pt idx="2154">
                  <c:v>8.930</c:v>
                </c:pt>
                <c:pt idx="2155">
                  <c:v>9.150</c:v>
                </c:pt>
                <c:pt idx="2156">
                  <c:v>9.327</c:v>
                </c:pt>
                <c:pt idx="2157">
                  <c:v>9.460</c:v>
                </c:pt>
                <c:pt idx="2158">
                  <c:v>9.549</c:v>
                </c:pt>
                <c:pt idx="2159">
                  <c:v>9.594</c:v>
                </c:pt>
                <c:pt idx="2160">
                  <c:v>9.594</c:v>
                </c:pt>
                <c:pt idx="2161">
                  <c:v>9.549</c:v>
                </c:pt>
                <c:pt idx="2162">
                  <c:v>9.460</c:v>
                </c:pt>
                <c:pt idx="2163">
                  <c:v>9.245</c:v>
                </c:pt>
                <c:pt idx="2164">
                  <c:v>9.045</c:v>
                </c:pt>
                <c:pt idx="2165">
                  <c:v>8.805</c:v>
                </c:pt>
                <c:pt idx="2166">
                  <c:v>8.525</c:v>
                </c:pt>
                <c:pt idx="2167">
                  <c:v>8.027</c:v>
                </c:pt>
                <c:pt idx="2168">
                  <c:v>7.446</c:v>
                </c:pt>
                <c:pt idx="2169">
                  <c:v>6.788</c:v>
                </c:pt>
                <c:pt idx="2170">
                  <c:v>6.058</c:v>
                </c:pt>
                <c:pt idx="2171">
                  <c:v>5.265</c:v>
                </c:pt>
                <c:pt idx="2172">
                  <c:v>4.416</c:v>
                </c:pt>
                <c:pt idx="2173">
                  <c:v>3.522</c:v>
                </c:pt>
                <c:pt idx="2174">
                  <c:v>2.587</c:v>
                </c:pt>
                <c:pt idx="2175">
                  <c:v>1.953</c:v>
                </c:pt>
                <c:pt idx="2176">
                  <c:v>1.311</c:v>
                </c:pt>
                <c:pt idx="2177">
                  <c:v>0.324</c:v>
                </c:pt>
                <c:pt idx="2178">
                  <c:v>-9.480</c:v>
                </c:pt>
                <c:pt idx="2179">
                  <c:v>-9.202</c:v>
                </c:pt>
                <c:pt idx="2180">
                  <c:v>-1.765</c:v>
                </c:pt>
                <c:pt idx="2181">
                  <c:v>1.712</c:v>
                </c:pt>
                <c:pt idx="2182">
                  <c:v>3.522</c:v>
                </c:pt>
                <c:pt idx="2183">
                  <c:v>3.920</c:v>
                </c:pt>
                <c:pt idx="2184">
                  <c:v>4.270</c:v>
                </c:pt>
                <c:pt idx="2185">
                  <c:v>4.588</c:v>
                </c:pt>
                <c:pt idx="2186">
                  <c:v>4.743</c:v>
                </c:pt>
                <c:pt idx="2187">
                  <c:v>4.884</c:v>
                </c:pt>
                <c:pt idx="2188">
                  <c:v>5.060</c:v>
                </c:pt>
                <c:pt idx="2189">
                  <c:v>5.139</c:v>
                </c:pt>
                <c:pt idx="2190">
                  <c:v>5.193</c:v>
                </c:pt>
                <c:pt idx="2191">
                  <c:v>5.220</c:v>
                </c:pt>
                <c:pt idx="2192">
                  <c:v>5.220</c:v>
                </c:pt>
                <c:pt idx="2193">
                  <c:v>5.193</c:v>
                </c:pt>
                <c:pt idx="2194">
                  <c:v>5.139</c:v>
                </c:pt>
                <c:pt idx="2195">
                  <c:v>5.058</c:v>
                </c:pt>
                <c:pt idx="2196">
                  <c:v>4.955</c:v>
                </c:pt>
                <c:pt idx="2197">
                  <c:v>4.720</c:v>
                </c:pt>
                <c:pt idx="2198">
                  <c:v>4.379</c:v>
                </c:pt>
                <c:pt idx="2199">
                  <c:v>4.161</c:v>
                </c:pt>
                <c:pt idx="2200">
                  <c:v>3.922</c:v>
                </c:pt>
                <c:pt idx="2201">
                  <c:v>3.662</c:v>
                </c:pt>
                <c:pt idx="2202">
                  <c:v>3.382</c:v>
                </c:pt>
                <c:pt idx="2203">
                  <c:v>3.083</c:v>
                </c:pt>
                <c:pt idx="2204">
                  <c:v>2.796</c:v>
                </c:pt>
                <c:pt idx="2205">
                  <c:v>2.264</c:v>
                </c:pt>
                <c:pt idx="2206">
                  <c:v>1.700</c:v>
                </c:pt>
                <c:pt idx="2207">
                  <c:v>1.365</c:v>
                </c:pt>
                <c:pt idx="2208">
                  <c:v>0.987</c:v>
                </c:pt>
                <c:pt idx="2209">
                  <c:v>0.602</c:v>
                </c:pt>
                <c:pt idx="2210">
                  <c:v>0.227</c:v>
                </c:pt>
                <c:pt idx="2211">
                  <c:v>#¡CAMPO!</c:v>
                </c:pt>
                <c:pt idx="2212">
                  <c:v>-6.379</c:v>
                </c:pt>
                <c:pt idx="2213">
                  <c:v>4.677</c:v>
                </c:pt>
                <c:pt idx="2214">
                  <c:v>4.677</c:v>
                </c:pt>
                <c:pt idx="2215">
                  <c:v>-7.289</c:v>
                </c:pt>
                <c:pt idx="2216">
                  <c:v>-7.289</c:v>
                </c:pt>
                <c:pt idx="2217">
                  <c:v>0.217</c:v>
                </c:pt>
                <c:pt idx="2218">
                  <c:v>0.992</c:v>
                </c:pt>
                <c:pt idx="2219">
                  <c:v>1.483</c:v>
                </c:pt>
                <c:pt idx="2220">
                  <c:v>1.966</c:v>
                </c:pt>
                <c:pt idx="2221">
                  <c:v>2.443</c:v>
                </c:pt>
                <c:pt idx="2222">
                  <c:v>3.115</c:v>
                </c:pt>
                <c:pt idx="2223">
                  <c:v>3.551</c:v>
                </c:pt>
                <c:pt idx="2224">
                  <c:v>4.221</c:v>
                </c:pt>
                <c:pt idx="2225">
                  <c:v>4.599</c:v>
                </c:pt>
                <c:pt idx="2226">
                  <c:v>4.974</c:v>
                </c:pt>
                <c:pt idx="2227">
                  <c:v>5.326</c:v>
                </c:pt>
                <c:pt idx="2228">
                  <c:v>5.653</c:v>
                </c:pt>
                <c:pt idx="2229">
                  <c:v>5.953</c:v>
                </c:pt>
                <c:pt idx="2230">
                  <c:v>6.226</c:v>
                </c:pt>
                <c:pt idx="2231">
                  <c:v>6.470</c:v>
                </c:pt>
                <c:pt idx="2232">
                  <c:v>6.684</c:v>
                </c:pt>
                <c:pt idx="2233">
                  <c:v>6.867</c:v>
                </c:pt>
                <c:pt idx="2234">
                  <c:v>7.077</c:v>
                </c:pt>
                <c:pt idx="2235">
                  <c:v>7.181</c:v>
                </c:pt>
                <c:pt idx="2236">
                  <c:v>7.249</c:v>
                </c:pt>
                <c:pt idx="2237">
                  <c:v>7.283</c:v>
                </c:pt>
                <c:pt idx="2238">
                  <c:v>7.283</c:v>
                </c:pt>
                <c:pt idx="2239">
                  <c:v>7.249</c:v>
                </c:pt>
                <c:pt idx="2240">
                  <c:v>7.181</c:v>
                </c:pt>
                <c:pt idx="2241">
                  <c:v>7.085</c:v>
                </c:pt>
                <c:pt idx="2242">
                  <c:v>6.858</c:v>
                </c:pt>
                <c:pt idx="2243">
                  <c:v>6.684</c:v>
                </c:pt>
                <c:pt idx="2244">
                  <c:v>6.480</c:v>
                </c:pt>
                <c:pt idx="2245">
                  <c:v>6.092</c:v>
                </c:pt>
                <c:pt idx="2246">
                  <c:v>5.651</c:v>
                </c:pt>
                <c:pt idx="2247">
                  <c:v>5.151</c:v>
                </c:pt>
                <c:pt idx="2248">
                  <c:v>4.598</c:v>
                </c:pt>
                <c:pt idx="2249">
                  <c:v>3.996</c:v>
                </c:pt>
                <c:pt idx="2250">
                  <c:v>3.352</c:v>
                </c:pt>
                <c:pt idx="2251">
                  <c:v>2.673</c:v>
                </c:pt>
                <c:pt idx="2252">
                  <c:v>1.966</c:v>
                </c:pt>
                <c:pt idx="2253">
                  <c:v>1.215</c:v>
                </c:pt>
                <c:pt idx="2254">
                  <c:v>0.745</c:v>
                </c:pt>
                <c:pt idx="2255">
                  <c:v>0.248</c:v>
                </c:pt>
                <c:pt idx="2256">
                  <c:v>-7.169</c:v>
                </c:pt>
                <c:pt idx="2257">
                  <c:v>-8.584</c:v>
                </c:pt>
                <c:pt idx="2258">
                  <c:v>-8.584</c:v>
                </c:pt>
                <c:pt idx="2259">
                  <c:v>0.247</c:v>
                </c:pt>
                <c:pt idx="2260">
                  <c:v>1.169</c:v>
                </c:pt>
                <c:pt idx="2261">
                  <c:v>1.746</c:v>
                </c:pt>
                <c:pt idx="2262">
                  <c:v>2.316</c:v>
                </c:pt>
                <c:pt idx="2263">
                  <c:v>2.876</c:v>
                </c:pt>
                <c:pt idx="2264">
                  <c:v>3.679</c:v>
                </c:pt>
                <c:pt idx="2265">
                  <c:v>4.196</c:v>
                </c:pt>
                <c:pt idx="2266">
                  <c:v>4.960</c:v>
                </c:pt>
                <c:pt idx="2267">
                  <c:v>5.417</c:v>
                </c:pt>
                <c:pt idx="2268">
                  <c:v>5.859</c:v>
                </c:pt>
                <c:pt idx="2269">
                  <c:v>6.273</c:v>
                </c:pt>
                <c:pt idx="2270">
                  <c:v>6.658</c:v>
                </c:pt>
                <c:pt idx="2271">
                  <c:v>7.013</c:v>
                </c:pt>
                <c:pt idx="2272">
                  <c:v>7.334</c:v>
                </c:pt>
                <c:pt idx="2273">
                  <c:v>7.621</c:v>
                </c:pt>
                <c:pt idx="2274">
                  <c:v>7.873</c:v>
                </c:pt>
                <c:pt idx="2275">
                  <c:v>8.088</c:v>
                </c:pt>
                <c:pt idx="2276">
                  <c:v>8.338</c:v>
                </c:pt>
                <c:pt idx="2277">
                  <c:v>8.459</c:v>
                </c:pt>
                <c:pt idx="2278">
                  <c:v>8.539</c:v>
                </c:pt>
                <c:pt idx="2279">
                  <c:v>8.579</c:v>
                </c:pt>
                <c:pt idx="2280">
                  <c:v>8.579</c:v>
                </c:pt>
                <c:pt idx="2281">
                  <c:v>8.539</c:v>
                </c:pt>
                <c:pt idx="2282">
                  <c:v>8.459</c:v>
                </c:pt>
                <c:pt idx="2283">
                  <c:v>8.342</c:v>
                </c:pt>
                <c:pt idx="2284">
                  <c:v>8.084</c:v>
                </c:pt>
                <c:pt idx="2285">
                  <c:v>7.873</c:v>
                </c:pt>
                <c:pt idx="2286">
                  <c:v>7.626</c:v>
                </c:pt>
                <c:pt idx="2287">
                  <c:v>7.177</c:v>
                </c:pt>
                <c:pt idx="2288">
                  <c:v>6.658</c:v>
                </c:pt>
                <c:pt idx="2289">
                  <c:v>6.069</c:v>
                </c:pt>
                <c:pt idx="2290">
                  <c:v>5.416</c:v>
                </c:pt>
                <c:pt idx="2291">
                  <c:v>4.707</c:v>
                </c:pt>
                <c:pt idx="2292">
                  <c:v>3.949</c:v>
                </c:pt>
                <c:pt idx="2293">
                  <c:v>3.149</c:v>
                </c:pt>
                <c:pt idx="2294">
                  <c:v>2.316</c:v>
                </c:pt>
                <c:pt idx="2295">
                  <c:v>1.446</c:v>
                </c:pt>
                <c:pt idx="2296">
                  <c:v>0.878</c:v>
                </c:pt>
                <c:pt idx="2297">
                  <c:v>0.293</c:v>
                </c:pt>
                <c:pt idx="2298">
                  <c:v>-8.464</c:v>
                </c:pt>
                <c:pt idx="2299">
                  <c:v>-9.600</c:v>
                </c:pt>
                <c:pt idx="2300">
                  <c:v>-9.600</c:v>
                </c:pt>
                <c:pt idx="2301">
                  <c:v>0.271</c:v>
                </c:pt>
                <c:pt idx="2302">
                  <c:v>0.653</c:v>
                </c:pt>
                <c:pt idx="2303">
                  <c:v>1.307</c:v>
                </c:pt>
                <c:pt idx="2304">
                  <c:v>1.953</c:v>
                </c:pt>
                <c:pt idx="2305">
                  <c:v>2.590</c:v>
                </c:pt>
                <c:pt idx="2306">
                  <c:v>3.215</c:v>
                </c:pt>
                <c:pt idx="2307">
                  <c:v>4.121</c:v>
                </c:pt>
                <c:pt idx="2308">
                  <c:v>4.702</c:v>
                </c:pt>
                <c:pt idx="2309">
                  <c:v>5.539</c:v>
                </c:pt>
                <c:pt idx="2310">
                  <c:v>6.058</c:v>
                </c:pt>
                <c:pt idx="2311">
                  <c:v>6.552</c:v>
                </c:pt>
                <c:pt idx="2312">
                  <c:v>7.016</c:v>
                </c:pt>
                <c:pt idx="2313">
                  <c:v>7.447</c:v>
                </c:pt>
                <c:pt idx="2314">
                  <c:v>7.843</c:v>
                </c:pt>
                <c:pt idx="2315">
                  <c:v>8.202</c:v>
                </c:pt>
                <c:pt idx="2316">
                  <c:v>8.523</c:v>
                </c:pt>
                <c:pt idx="2317">
                  <c:v>8.805</c:v>
                </c:pt>
                <c:pt idx="2318">
                  <c:v>9.046</c:v>
                </c:pt>
                <c:pt idx="2319">
                  <c:v>9.326</c:v>
                </c:pt>
                <c:pt idx="2320">
                  <c:v>9.460</c:v>
                </c:pt>
                <c:pt idx="2321">
                  <c:v>9.549</c:v>
                </c:pt>
                <c:pt idx="2322">
                  <c:v>9.594</c:v>
                </c:pt>
                <c:pt idx="2323">
                  <c:v>9.594</c:v>
                </c:pt>
                <c:pt idx="2324">
                  <c:v>9.549</c:v>
                </c:pt>
                <c:pt idx="2325">
                  <c:v>9.460</c:v>
                </c:pt>
                <c:pt idx="2326">
                  <c:v>9.328</c:v>
                </c:pt>
                <c:pt idx="2327">
                  <c:v>9.044</c:v>
                </c:pt>
                <c:pt idx="2328">
                  <c:v>8.805</c:v>
                </c:pt>
                <c:pt idx="2329">
                  <c:v>8.525</c:v>
                </c:pt>
                <c:pt idx="2330">
                  <c:v>8.027</c:v>
                </c:pt>
                <c:pt idx="2331">
                  <c:v>7.446</c:v>
                </c:pt>
                <c:pt idx="2332">
                  <c:v>6.788</c:v>
                </c:pt>
                <c:pt idx="2333">
                  <c:v>6.058</c:v>
                </c:pt>
                <c:pt idx="2334">
                  <c:v>5.265</c:v>
                </c:pt>
                <c:pt idx="2335">
                  <c:v>4.416</c:v>
                </c:pt>
                <c:pt idx="2336">
                  <c:v>3.522</c:v>
                </c:pt>
                <c:pt idx="2337">
                  <c:v>2.590</c:v>
                </c:pt>
                <c:pt idx="2338">
                  <c:v>1.628</c:v>
                </c:pt>
                <c:pt idx="2339">
                  <c:v>0.982</c:v>
                </c:pt>
                <c:pt idx="2340">
                  <c:v>0.328</c:v>
                </c:pt>
                <c:pt idx="2341">
                  <c:v>-9.480</c:v>
                </c:pt>
                <c:pt idx="2342">
                  <c:v>-9.201</c:v>
                </c:pt>
                <c:pt idx="2343">
                  <c:v>-1.765</c:v>
                </c:pt>
                <c:pt idx="2344">
                  <c:v>1.712</c:v>
                </c:pt>
                <c:pt idx="2345">
                  <c:v>3.522</c:v>
                </c:pt>
                <c:pt idx="2346">
                  <c:v>3.920</c:v>
                </c:pt>
                <c:pt idx="2347">
                  <c:v>4.270</c:v>
                </c:pt>
                <c:pt idx="2348">
                  <c:v>4.588</c:v>
                </c:pt>
                <c:pt idx="2349">
                  <c:v>4.743</c:v>
                </c:pt>
                <c:pt idx="2350">
                  <c:v>4.875</c:v>
                </c:pt>
                <c:pt idx="2351">
                  <c:v>5.065</c:v>
                </c:pt>
                <c:pt idx="2352">
                  <c:v>5.139</c:v>
                </c:pt>
                <c:pt idx="2353">
                  <c:v>5.193</c:v>
                </c:pt>
                <c:pt idx="2354">
                  <c:v>5.220</c:v>
                </c:pt>
                <c:pt idx="2355">
                  <c:v>5.220</c:v>
                </c:pt>
                <c:pt idx="2356">
                  <c:v>5.193</c:v>
                </c:pt>
                <c:pt idx="2357">
                  <c:v>5.141</c:v>
                </c:pt>
                <c:pt idx="2358">
                  <c:v>4.997</c:v>
                </c:pt>
                <c:pt idx="2359">
                  <c:v>4.743</c:v>
                </c:pt>
                <c:pt idx="2360">
                  <c:v>4.573</c:v>
                </c:pt>
                <c:pt idx="2361">
                  <c:v>4.379</c:v>
                </c:pt>
                <c:pt idx="2362">
                  <c:v>4.161</c:v>
                </c:pt>
                <c:pt idx="2363">
                  <c:v>3.922</c:v>
                </c:pt>
                <c:pt idx="2364">
                  <c:v>3.662</c:v>
                </c:pt>
                <c:pt idx="2365">
                  <c:v>3.382</c:v>
                </c:pt>
                <c:pt idx="2366">
                  <c:v>3.083</c:v>
                </c:pt>
                <c:pt idx="2367">
                  <c:v>2.796</c:v>
                </c:pt>
                <c:pt idx="2368">
                  <c:v>2.246</c:v>
                </c:pt>
                <c:pt idx="2369">
                  <c:v>1.698</c:v>
                </c:pt>
                <c:pt idx="2370">
                  <c:v>1.368</c:v>
                </c:pt>
                <c:pt idx="2371">
                  <c:v>0.987</c:v>
                </c:pt>
                <c:pt idx="2372">
                  <c:v>0.602</c:v>
                </c:pt>
                <c:pt idx="2373">
                  <c:v>0.226</c:v>
                </c:pt>
                <c:pt idx="2374">
                  <c:v>#¡CAMPO!</c:v>
                </c:pt>
                <c:pt idx="2375">
                  <c:v>-6.379</c:v>
                </c:pt>
                <c:pt idx="2376">
                  <c:v>4.677</c:v>
                </c:pt>
                <c:pt idx="2377">
                  <c:v>4.677</c:v>
                </c:pt>
                <c:pt idx="2378">
                  <c:v>-7.289</c:v>
                </c:pt>
                <c:pt idx="2379">
                  <c:v>-7.289</c:v>
                </c:pt>
                <c:pt idx="2380">
                  <c:v>0.235</c:v>
                </c:pt>
                <c:pt idx="2381">
                  <c:v>0.992</c:v>
                </c:pt>
                <c:pt idx="2382">
                  <c:v>1.483</c:v>
                </c:pt>
                <c:pt idx="2383">
                  <c:v>1.966</c:v>
                </c:pt>
                <c:pt idx="2384">
                  <c:v>2.442</c:v>
                </c:pt>
                <c:pt idx="2385">
                  <c:v>3.114</c:v>
                </c:pt>
                <c:pt idx="2386">
                  <c:v>3.572</c:v>
                </c:pt>
                <c:pt idx="2387">
                  <c:v>3.997</c:v>
                </c:pt>
                <c:pt idx="2388">
                  <c:v>4.403</c:v>
                </c:pt>
                <c:pt idx="2389">
                  <c:v>4.790</c:v>
                </c:pt>
                <c:pt idx="2390">
                  <c:v>5.145</c:v>
                </c:pt>
                <c:pt idx="2391">
                  <c:v>5.653</c:v>
                </c:pt>
                <c:pt idx="2392">
                  <c:v>5.953</c:v>
                </c:pt>
                <c:pt idx="2393">
                  <c:v>6.226</c:v>
                </c:pt>
                <c:pt idx="2394">
                  <c:v>6.470</c:v>
                </c:pt>
                <c:pt idx="2395">
                  <c:v>6.684</c:v>
                </c:pt>
                <c:pt idx="2396">
                  <c:v>6.866</c:v>
                </c:pt>
                <c:pt idx="2397">
                  <c:v>7.010</c:v>
                </c:pt>
                <c:pt idx="2398">
                  <c:v>7.184</c:v>
                </c:pt>
                <c:pt idx="2399">
                  <c:v>7.249</c:v>
                </c:pt>
                <c:pt idx="2400">
                  <c:v>7.283</c:v>
                </c:pt>
                <c:pt idx="2401">
                  <c:v>7.283</c:v>
                </c:pt>
                <c:pt idx="2402">
                  <c:v>7.249</c:v>
                </c:pt>
                <c:pt idx="2403">
                  <c:v>7.181</c:v>
                </c:pt>
                <c:pt idx="2404">
                  <c:v>7.085</c:v>
                </c:pt>
                <c:pt idx="2405">
                  <c:v>6.858</c:v>
                </c:pt>
                <c:pt idx="2406">
                  <c:v>6.684</c:v>
                </c:pt>
                <c:pt idx="2407">
                  <c:v>6.480</c:v>
                </c:pt>
                <c:pt idx="2408">
                  <c:v>6.092</c:v>
                </c:pt>
                <c:pt idx="2409">
                  <c:v>5.651</c:v>
                </c:pt>
                <c:pt idx="2410">
                  <c:v>5.151</c:v>
                </c:pt>
                <c:pt idx="2411">
                  <c:v>4.598</c:v>
                </c:pt>
                <c:pt idx="2412">
                  <c:v>3.996</c:v>
                </c:pt>
                <c:pt idx="2413">
                  <c:v>3.352</c:v>
                </c:pt>
                <c:pt idx="2414">
                  <c:v>2.673</c:v>
                </c:pt>
                <c:pt idx="2415">
                  <c:v>1.966</c:v>
                </c:pt>
                <c:pt idx="2416">
                  <c:v>1.215</c:v>
                </c:pt>
                <c:pt idx="2417">
                  <c:v>0.745</c:v>
                </c:pt>
                <c:pt idx="2418">
                  <c:v>0.248</c:v>
                </c:pt>
                <c:pt idx="2419">
                  <c:v>-7.169</c:v>
                </c:pt>
                <c:pt idx="2420">
                  <c:v>-8.584</c:v>
                </c:pt>
                <c:pt idx="2421">
                  <c:v>-8.584</c:v>
                </c:pt>
                <c:pt idx="2422">
                  <c:v>0.266</c:v>
                </c:pt>
                <c:pt idx="2423">
                  <c:v>1.169</c:v>
                </c:pt>
                <c:pt idx="2424">
                  <c:v>1.746</c:v>
                </c:pt>
                <c:pt idx="2425">
                  <c:v>2.316</c:v>
                </c:pt>
                <c:pt idx="2426">
                  <c:v>2.875</c:v>
                </c:pt>
                <c:pt idx="2427">
                  <c:v>3.678</c:v>
                </c:pt>
                <c:pt idx="2428">
                  <c:v>4.207</c:v>
                </c:pt>
                <c:pt idx="2429">
                  <c:v>4.708</c:v>
                </c:pt>
                <c:pt idx="2430">
                  <c:v>5.186</c:v>
                </c:pt>
                <c:pt idx="2431">
                  <c:v>5.642</c:v>
                </c:pt>
                <c:pt idx="2432">
                  <c:v>6.051</c:v>
                </c:pt>
                <c:pt idx="2433">
                  <c:v>6.658</c:v>
                </c:pt>
                <c:pt idx="2434">
                  <c:v>7.013</c:v>
                </c:pt>
                <c:pt idx="2435">
                  <c:v>7.334</c:v>
                </c:pt>
                <c:pt idx="2436">
                  <c:v>7.621</c:v>
                </c:pt>
                <c:pt idx="2437">
                  <c:v>7.873</c:v>
                </c:pt>
                <c:pt idx="2438">
                  <c:v>8.088</c:v>
                </c:pt>
                <c:pt idx="2439">
                  <c:v>8.262</c:v>
                </c:pt>
                <c:pt idx="2440">
                  <c:v>8.460</c:v>
                </c:pt>
                <c:pt idx="2441">
                  <c:v>8.539</c:v>
                </c:pt>
                <c:pt idx="2442">
                  <c:v>8.579</c:v>
                </c:pt>
                <c:pt idx="2443">
                  <c:v>8.579</c:v>
                </c:pt>
                <c:pt idx="2444">
                  <c:v>8.539</c:v>
                </c:pt>
                <c:pt idx="2445">
                  <c:v>8.459</c:v>
                </c:pt>
                <c:pt idx="2446">
                  <c:v>8.342</c:v>
                </c:pt>
                <c:pt idx="2447">
                  <c:v>8.084</c:v>
                </c:pt>
                <c:pt idx="2448">
                  <c:v>7.873</c:v>
                </c:pt>
                <c:pt idx="2449">
                  <c:v>7.626</c:v>
                </c:pt>
                <c:pt idx="2450">
                  <c:v>7.177</c:v>
                </c:pt>
                <c:pt idx="2451">
                  <c:v>6.658</c:v>
                </c:pt>
                <c:pt idx="2452">
                  <c:v>6.069</c:v>
                </c:pt>
                <c:pt idx="2453">
                  <c:v>5.416</c:v>
                </c:pt>
                <c:pt idx="2454">
                  <c:v>4.707</c:v>
                </c:pt>
                <c:pt idx="2455">
                  <c:v>3.949</c:v>
                </c:pt>
                <c:pt idx="2456">
                  <c:v>3.149</c:v>
                </c:pt>
                <c:pt idx="2457">
                  <c:v>2.316</c:v>
                </c:pt>
                <c:pt idx="2458">
                  <c:v>1.446</c:v>
                </c:pt>
                <c:pt idx="2459">
                  <c:v>0.878</c:v>
                </c:pt>
                <c:pt idx="2460">
                  <c:v>0.293</c:v>
                </c:pt>
                <c:pt idx="2461">
                  <c:v>-8.464</c:v>
                </c:pt>
                <c:pt idx="2462">
                  <c:v>-9.600</c:v>
                </c:pt>
                <c:pt idx="2463">
                  <c:v>-9.600</c:v>
                </c:pt>
                <c:pt idx="2464">
                  <c:v>0.291</c:v>
                </c:pt>
                <c:pt idx="2465">
                  <c:v>0.652</c:v>
                </c:pt>
                <c:pt idx="2466">
                  <c:v>1.307</c:v>
                </c:pt>
                <c:pt idx="2467">
                  <c:v>1.953</c:v>
                </c:pt>
                <c:pt idx="2468">
                  <c:v>2.590</c:v>
                </c:pt>
                <c:pt idx="2469">
                  <c:v>3.215</c:v>
                </c:pt>
                <c:pt idx="2470">
                  <c:v>4.121</c:v>
                </c:pt>
                <c:pt idx="2471">
                  <c:v>4.705</c:v>
                </c:pt>
                <c:pt idx="2472">
                  <c:v>5.265</c:v>
                </c:pt>
                <c:pt idx="2473">
                  <c:v>5.801</c:v>
                </c:pt>
                <c:pt idx="2474">
                  <c:v>6.309</c:v>
                </c:pt>
                <c:pt idx="2475">
                  <c:v>6.762</c:v>
                </c:pt>
                <c:pt idx="2476">
                  <c:v>7.014</c:v>
                </c:pt>
                <c:pt idx="2477">
                  <c:v>7.447</c:v>
                </c:pt>
                <c:pt idx="2478">
                  <c:v>7.843</c:v>
                </c:pt>
                <c:pt idx="2479">
                  <c:v>8.202</c:v>
                </c:pt>
                <c:pt idx="2480">
                  <c:v>8.523</c:v>
                </c:pt>
                <c:pt idx="2481">
                  <c:v>8.805</c:v>
                </c:pt>
                <c:pt idx="2482">
                  <c:v>9.045</c:v>
                </c:pt>
                <c:pt idx="2483">
                  <c:v>9.243</c:v>
                </c:pt>
                <c:pt idx="2484">
                  <c:v>9.461</c:v>
                </c:pt>
                <c:pt idx="2485">
                  <c:v>9.549</c:v>
                </c:pt>
                <c:pt idx="2486">
                  <c:v>9.594</c:v>
                </c:pt>
                <c:pt idx="2487">
                  <c:v>9.594</c:v>
                </c:pt>
                <c:pt idx="2488">
                  <c:v>9.549</c:v>
                </c:pt>
                <c:pt idx="2489">
                  <c:v>9.460</c:v>
                </c:pt>
                <c:pt idx="2490">
                  <c:v>9.328</c:v>
                </c:pt>
                <c:pt idx="2491">
                  <c:v>9.044</c:v>
                </c:pt>
                <c:pt idx="2492">
                  <c:v>8.805</c:v>
                </c:pt>
                <c:pt idx="2493">
                  <c:v>8.525</c:v>
                </c:pt>
                <c:pt idx="2494">
                  <c:v>8.027</c:v>
                </c:pt>
                <c:pt idx="2495">
                  <c:v>7.446</c:v>
                </c:pt>
                <c:pt idx="2496">
                  <c:v>6.788</c:v>
                </c:pt>
                <c:pt idx="2497">
                  <c:v>6.058</c:v>
                </c:pt>
                <c:pt idx="2498">
                  <c:v>5.265</c:v>
                </c:pt>
                <c:pt idx="2499">
                  <c:v>4.416</c:v>
                </c:pt>
                <c:pt idx="2500">
                  <c:v>3.522</c:v>
                </c:pt>
                <c:pt idx="2501">
                  <c:v>2.590</c:v>
                </c:pt>
                <c:pt idx="2502">
                  <c:v>1.628</c:v>
                </c:pt>
                <c:pt idx="2503">
                  <c:v>0.982</c:v>
                </c:pt>
                <c:pt idx="2504">
                  <c:v>0.328</c:v>
                </c:pt>
                <c:pt idx="2505">
                  <c:v>-9.480</c:v>
                </c:pt>
                <c:pt idx="2506">
                  <c:v>-9.201</c:v>
                </c:pt>
                <c:pt idx="2507">
                  <c:v>3.973</c:v>
                </c:pt>
                <c:pt idx="2508">
                  <c:v>4.810</c:v>
                </c:pt>
                <c:pt idx="2509">
                  <c:v>5.235</c:v>
                </c:pt>
                <c:pt idx="2510">
                  <c:v>5.611</c:v>
                </c:pt>
                <c:pt idx="2511">
                  <c:v>5.948</c:v>
                </c:pt>
                <c:pt idx="2512">
                  <c:v>6.117</c:v>
                </c:pt>
                <c:pt idx="2513">
                  <c:v>6.260</c:v>
                </c:pt>
                <c:pt idx="2514">
                  <c:v>6.439</c:v>
                </c:pt>
                <c:pt idx="2515">
                  <c:v>1.103</c:v>
                </c:pt>
                <c:pt idx="2516">
                  <c:v>0.412</c:v>
                </c:pt>
                <c:pt idx="2517">
                  <c:v>#¡CAMPO!</c:v>
                </c:pt>
                <c:pt idx="2518">
                  <c:v>6.627</c:v>
                </c:pt>
                <c:pt idx="2519">
                  <c:v>6.598</c:v>
                </c:pt>
                <c:pt idx="2520">
                  <c:v>6.533</c:v>
                </c:pt>
                <c:pt idx="2521">
                  <c:v>-1.588</c:v>
                </c:pt>
                <c:pt idx="2522">
                  <c:v>-2.837</c:v>
                </c:pt>
                <c:pt idx="2523">
                  <c:v>6.270</c:v>
                </c:pt>
                <c:pt idx="2524">
                  <c:v>6.100</c:v>
                </c:pt>
                <c:pt idx="2525">
                  <c:v>5.893</c:v>
                </c:pt>
                <c:pt idx="2526">
                  <c:v>-4.085</c:v>
                </c:pt>
                <c:pt idx="2527">
                  <c:v>-5.334</c:v>
                </c:pt>
                <c:pt idx="2528">
                  <c:v>5.409</c:v>
                </c:pt>
                <c:pt idx="2529">
                  <c:v>5.243</c:v>
                </c:pt>
                <c:pt idx="2530">
                  <c:v>4.833</c:v>
                </c:pt>
                <c:pt idx="2531">
                  <c:v>-6.582</c:v>
                </c:pt>
                <c:pt idx="2532">
                  <c:v>-6.633</c:v>
                </c:pt>
                <c:pt idx="2533">
                  <c:v>-6.633</c:v>
                </c:pt>
                <c:pt idx="2534">
                  <c:v>4.168</c:v>
                </c:pt>
                <c:pt idx="2535">
                  <c:v>3.985</c:v>
                </c:pt>
                <c:pt idx="2536">
                  <c:v>3.410</c:v>
                </c:pt>
                <c:pt idx="2537">
                  <c:v>-6.633</c:v>
                </c:pt>
                <c:pt idx="2538">
                  <c:v>-6.633</c:v>
                </c:pt>
                <c:pt idx="2539">
                  <c:v>2.555</c:v>
                </c:pt>
                <c:pt idx="2540">
                  <c:v>2.094</c:v>
                </c:pt>
                <c:pt idx="2541">
                  <c:v>1.576</c:v>
                </c:pt>
                <c:pt idx="2542">
                  <c:v>-6.633</c:v>
                </c:pt>
                <c:pt idx="2543">
                  <c:v>-6.633</c:v>
                </c:pt>
                <c:pt idx="2544">
                  <c:v>0.438</c:v>
                </c:pt>
                <c:pt idx="2545">
                  <c:v>#¡CAMPO!</c:v>
                </c:pt>
                <c:pt idx="2546">
                  <c:v>-6.633</c:v>
                </c:pt>
                <c:pt idx="2547">
                  <c:v>-6.633</c:v>
                </c:pt>
                <c:pt idx="2548">
                  <c:v>-2.057</c:v>
                </c:pt>
                <c:pt idx="2549">
                  <c:v>-3.304</c:v>
                </c:pt>
                <c:pt idx="2550">
                  <c:v>-6.633</c:v>
                </c:pt>
                <c:pt idx="2551">
                  <c:v>-6.633</c:v>
                </c:pt>
                <c:pt idx="2552">
                  <c:v>-4.551</c:v>
                </c:pt>
                <c:pt idx="2553">
                  <c:v>-5.799</c:v>
                </c:pt>
                <c:pt idx="2554">
                  <c:v>-6.633</c:v>
                </c:pt>
                <c:pt idx="2555">
                  <c:v>-6.633</c:v>
                </c:pt>
                <c:pt idx="2556">
                  <c:v>-7.289</c:v>
                </c:pt>
                <c:pt idx="2557">
                  <c:v>-7.289</c:v>
                </c:pt>
                <c:pt idx="2558">
                  <c:v>0.253</c:v>
                </c:pt>
                <c:pt idx="2559">
                  <c:v>0.992</c:v>
                </c:pt>
                <c:pt idx="2560">
                  <c:v>1.483</c:v>
                </c:pt>
                <c:pt idx="2561">
                  <c:v>1.966</c:v>
                </c:pt>
                <c:pt idx="2562">
                  <c:v>2.440</c:v>
                </c:pt>
                <c:pt idx="2563">
                  <c:v>2.882</c:v>
                </c:pt>
                <c:pt idx="2564">
                  <c:v>3.571</c:v>
                </c:pt>
                <c:pt idx="2565">
                  <c:v>4.221</c:v>
                </c:pt>
                <c:pt idx="2566">
                  <c:v>4.599</c:v>
                </c:pt>
                <c:pt idx="2567">
                  <c:v>4.974</c:v>
                </c:pt>
                <c:pt idx="2568">
                  <c:v>5.326</c:v>
                </c:pt>
                <c:pt idx="2569">
                  <c:v>5.653</c:v>
                </c:pt>
                <c:pt idx="2570">
                  <c:v>5.953</c:v>
                </c:pt>
                <c:pt idx="2571">
                  <c:v>6.226</c:v>
                </c:pt>
                <c:pt idx="2572">
                  <c:v>6.470</c:v>
                </c:pt>
                <c:pt idx="2573">
                  <c:v>6.674</c:v>
                </c:pt>
                <c:pt idx="2574">
                  <c:v>6.952</c:v>
                </c:pt>
                <c:pt idx="2575">
                  <c:v>7.080</c:v>
                </c:pt>
                <c:pt idx="2576">
                  <c:v>7.181</c:v>
                </c:pt>
                <c:pt idx="2577">
                  <c:v>7.249</c:v>
                </c:pt>
                <c:pt idx="2578">
                  <c:v>7.283</c:v>
                </c:pt>
                <c:pt idx="2579">
                  <c:v>7.283</c:v>
                </c:pt>
                <c:pt idx="2580">
                  <c:v>7.249</c:v>
                </c:pt>
                <c:pt idx="2581">
                  <c:v>7.181</c:v>
                </c:pt>
                <c:pt idx="2582">
                  <c:v>7.085</c:v>
                </c:pt>
                <c:pt idx="2583">
                  <c:v>6.858</c:v>
                </c:pt>
                <c:pt idx="2584">
                  <c:v>6.684</c:v>
                </c:pt>
                <c:pt idx="2585">
                  <c:v>6.480</c:v>
                </c:pt>
                <c:pt idx="2586">
                  <c:v>6.092</c:v>
                </c:pt>
                <c:pt idx="2587">
                  <c:v>5.651</c:v>
                </c:pt>
                <c:pt idx="2588">
                  <c:v>5.151</c:v>
                </c:pt>
                <c:pt idx="2589">
                  <c:v>4.598</c:v>
                </c:pt>
                <c:pt idx="2590">
                  <c:v>3.996</c:v>
                </c:pt>
                <c:pt idx="2591">
                  <c:v>3.352</c:v>
                </c:pt>
                <c:pt idx="2592">
                  <c:v>2.673</c:v>
                </c:pt>
                <c:pt idx="2593">
                  <c:v>1.966</c:v>
                </c:pt>
                <c:pt idx="2594">
                  <c:v>1.215</c:v>
                </c:pt>
                <c:pt idx="2595">
                  <c:v>0.745</c:v>
                </c:pt>
                <c:pt idx="2596">
                  <c:v>0.248</c:v>
                </c:pt>
                <c:pt idx="2597">
                  <c:v>-7.169</c:v>
                </c:pt>
                <c:pt idx="2598">
                  <c:v>-8.584</c:v>
                </c:pt>
                <c:pt idx="2599">
                  <c:v>-8.584</c:v>
                </c:pt>
                <c:pt idx="2600">
                  <c:v>0.286</c:v>
                </c:pt>
                <c:pt idx="2601">
                  <c:v>1.169</c:v>
                </c:pt>
                <c:pt idx="2602">
                  <c:v>1.746</c:v>
                </c:pt>
                <c:pt idx="2603">
                  <c:v>2.316</c:v>
                </c:pt>
                <c:pt idx="2604">
                  <c:v>2.874</c:v>
                </c:pt>
                <c:pt idx="2605">
                  <c:v>3.408</c:v>
                </c:pt>
                <c:pt idx="2606">
                  <c:v>4.206</c:v>
                </c:pt>
                <c:pt idx="2607">
                  <c:v>4.960</c:v>
                </c:pt>
                <c:pt idx="2608">
                  <c:v>5.417</c:v>
                </c:pt>
                <c:pt idx="2609">
                  <c:v>5.859</c:v>
                </c:pt>
                <c:pt idx="2610">
                  <c:v>6.273</c:v>
                </c:pt>
                <c:pt idx="2611">
                  <c:v>6.658</c:v>
                </c:pt>
                <c:pt idx="2612">
                  <c:v>7.013</c:v>
                </c:pt>
                <c:pt idx="2613">
                  <c:v>7.334</c:v>
                </c:pt>
                <c:pt idx="2614">
                  <c:v>7.621</c:v>
                </c:pt>
                <c:pt idx="2615">
                  <c:v>7.868</c:v>
                </c:pt>
                <c:pt idx="2616">
                  <c:v>8.185</c:v>
                </c:pt>
                <c:pt idx="2617">
                  <c:v>8.339</c:v>
                </c:pt>
                <c:pt idx="2618">
                  <c:v>8.459</c:v>
                </c:pt>
                <c:pt idx="2619">
                  <c:v>8.539</c:v>
                </c:pt>
                <c:pt idx="2620">
                  <c:v>8.579</c:v>
                </c:pt>
                <c:pt idx="2621">
                  <c:v>8.579</c:v>
                </c:pt>
                <c:pt idx="2622">
                  <c:v>8.539</c:v>
                </c:pt>
                <c:pt idx="2623">
                  <c:v>8.459</c:v>
                </c:pt>
                <c:pt idx="2624">
                  <c:v>8.342</c:v>
                </c:pt>
                <c:pt idx="2625">
                  <c:v>8.084</c:v>
                </c:pt>
                <c:pt idx="2626">
                  <c:v>7.873</c:v>
                </c:pt>
                <c:pt idx="2627">
                  <c:v>7.626</c:v>
                </c:pt>
                <c:pt idx="2628">
                  <c:v>7.177</c:v>
                </c:pt>
                <c:pt idx="2629">
                  <c:v>6.658</c:v>
                </c:pt>
                <c:pt idx="2630">
                  <c:v>6.069</c:v>
                </c:pt>
                <c:pt idx="2631">
                  <c:v>5.416</c:v>
                </c:pt>
                <c:pt idx="2632">
                  <c:v>4.707</c:v>
                </c:pt>
                <c:pt idx="2633">
                  <c:v>3.949</c:v>
                </c:pt>
                <c:pt idx="2634">
                  <c:v>3.149</c:v>
                </c:pt>
                <c:pt idx="2635">
                  <c:v>2.316</c:v>
                </c:pt>
                <c:pt idx="2636">
                  <c:v>1.446</c:v>
                </c:pt>
                <c:pt idx="2637">
                  <c:v>0.878</c:v>
                </c:pt>
                <c:pt idx="2638">
                  <c:v>0.293</c:v>
                </c:pt>
                <c:pt idx="2639">
                  <c:v>-8.464</c:v>
                </c:pt>
                <c:pt idx="2640">
                  <c:v>-9.600</c:v>
                </c:pt>
                <c:pt idx="2641">
                  <c:v>-9.600</c:v>
                </c:pt>
                <c:pt idx="2642">
                  <c:v>0.311</c:v>
                </c:pt>
                <c:pt idx="2643">
                  <c:v>1.307</c:v>
                </c:pt>
                <c:pt idx="2644">
                  <c:v>1.953</c:v>
                </c:pt>
                <c:pt idx="2645">
                  <c:v>2.590</c:v>
                </c:pt>
                <c:pt idx="2646">
                  <c:v>3.215</c:v>
                </c:pt>
                <c:pt idx="2647">
                  <c:v>3.821</c:v>
                </c:pt>
                <c:pt idx="2648">
                  <c:v>4.705</c:v>
                </c:pt>
                <c:pt idx="2649">
                  <c:v>5.539</c:v>
                </c:pt>
                <c:pt idx="2650">
                  <c:v>6.058</c:v>
                </c:pt>
                <c:pt idx="2651">
                  <c:v>6.552</c:v>
                </c:pt>
                <c:pt idx="2652">
                  <c:v>7.016</c:v>
                </c:pt>
                <c:pt idx="2653">
                  <c:v>7.447</c:v>
                </c:pt>
                <c:pt idx="2654">
                  <c:v>7.843</c:v>
                </c:pt>
                <c:pt idx="2655">
                  <c:v>8.202</c:v>
                </c:pt>
                <c:pt idx="2656">
                  <c:v>8.523</c:v>
                </c:pt>
                <c:pt idx="2657">
                  <c:v>8.804</c:v>
                </c:pt>
                <c:pt idx="2658">
                  <c:v>9.151</c:v>
                </c:pt>
                <c:pt idx="2659">
                  <c:v>9.327</c:v>
                </c:pt>
                <c:pt idx="2660">
                  <c:v>9.460</c:v>
                </c:pt>
                <c:pt idx="2661">
                  <c:v>9.549</c:v>
                </c:pt>
                <c:pt idx="2662">
                  <c:v>9.594</c:v>
                </c:pt>
                <c:pt idx="2663">
                  <c:v>9.594</c:v>
                </c:pt>
                <c:pt idx="2664">
                  <c:v>9.549</c:v>
                </c:pt>
                <c:pt idx="2665">
                  <c:v>9.460</c:v>
                </c:pt>
                <c:pt idx="2666">
                  <c:v>9.328</c:v>
                </c:pt>
                <c:pt idx="2667">
                  <c:v>9.044</c:v>
                </c:pt>
                <c:pt idx="2668">
                  <c:v>8.805</c:v>
                </c:pt>
                <c:pt idx="2669">
                  <c:v>8.525</c:v>
                </c:pt>
                <c:pt idx="2670">
                  <c:v>8.027</c:v>
                </c:pt>
                <c:pt idx="2671">
                  <c:v>7.446</c:v>
                </c:pt>
                <c:pt idx="2672">
                  <c:v>6.788</c:v>
                </c:pt>
                <c:pt idx="2673">
                  <c:v>6.058</c:v>
                </c:pt>
                <c:pt idx="2674">
                  <c:v>5.265</c:v>
                </c:pt>
                <c:pt idx="2675">
                  <c:v>4.416</c:v>
                </c:pt>
                <c:pt idx="2676">
                  <c:v>3.522</c:v>
                </c:pt>
                <c:pt idx="2677">
                  <c:v>2.590</c:v>
                </c:pt>
                <c:pt idx="2678">
                  <c:v>1.628</c:v>
                </c:pt>
                <c:pt idx="2679">
                  <c:v>0.982</c:v>
                </c:pt>
                <c:pt idx="2680">
                  <c:v>0.328</c:v>
                </c:pt>
                <c:pt idx="2681">
                  <c:v>-9.480</c:v>
                </c:pt>
                <c:pt idx="2682">
                  <c:v>-9.201</c:v>
                </c:pt>
                <c:pt idx="2683">
                  <c:v>-5.489</c:v>
                </c:pt>
                <c:pt idx="2684">
                  <c:v>-6.497</c:v>
                </c:pt>
                <c:pt idx="2685">
                  <c:v>-6.497</c:v>
                </c:pt>
                <c:pt idx="2686">
                  <c:v>-3.631</c:v>
                </c:pt>
                <c:pt idx="2687">
                  <c:v>-1.773</c:v>
                </c:pt>
                <c:pt idx="2688">
                  <c:v>-6.497</c:v>
                </c:pt>
                <c:pt idx="2689">
                  <c:v>-6.497</c:v>
                </c:pt>
                <c:pt idx="2690">
                  <c:v>0.085</c:v>
                </c:pt>
                <c:pt idx="2691">
                  <c:v>0.707</c:v>
                </c:pt>
                <c:pt idx="2692">
                  <c:v>1.117</c:v>
                </c:pt>
                <c:pt idx="2693">
                  <c:v>1.488</c:v>
                </c:pt>
                <c:pt idx="2694">
                  <c:v>1.796</c:v>
                </c:pt>
                <c:pt idx="2695">
                  <c:v>-6.497</c:v>
                </c:pt>
                <c:pt idx="2696">
                  <c:v>-6.497</c:v>
                </c:pt>
                <c:pt idx="2697">
                  <c:v>3.172</c:v>
                </c:pt>
                <c:pt idx="2698">
                  <c:v>3.788</c:v>
                </c:pt>
                <c:pt idx="2699">
                  <c:v>4.302</c:v>
                </c:pt>
                <c:pt idx="2700">
                  <c:v>-6.497</c:v>
                </c:pt>
                <c:pt idx="2701">
                  <c:v>-6.497</c:v>
                </c:pt>
                <c:pt idx="2702">
                  <c:v>-5.464</c:v>
                </c:pt>
                <c:pt idx="2703">
                  <c:v>5.218</c:v>
                </c:pt>
                <c:pt idx="2704">
                  <c:v>5.511</c:v>
                </c:pt>
                <c:pt idx="2705">
                  <c:v>5.838</c:v>
                </c:pt>
                <c:pt idx="2706">
                  <c:v>5.928</c:v>
                </c:pt>
                <c:pt idx="2707">
                  <c:v>-3.604</c:v>
                </c:pt>
                <c:pt idx="2708">
                  <c:v>-1.744</c:v>
                </c:pt>
                <c:pt idx="2709">
                  <c:v>6.384</c:v>
                </c:pt>
                <c:pt idx="2710">
                  <c:v>6.463</c:v>
                </c:pt>
                <c:pt idx="2711">
                  <c:v>6.491</c:v>
                </c:pt>
                <c:pt idx="2712">
                  <c:v>6.491</c:v>
                </c:pt>
                <c:pt idx="2713">
                  <c:v>6.458</c:v>
                </c:pt>
                <c:pt idx="2714">
                  <c:v>0.157</c:v>
                </c:pt>
                <c:pt idx="2715">
                  <c:v>0.715</c:v>
                </c:pt>
                <c:pt idx="2716">
                  <c:v>1.112</c:v>
                </c:pt>
                <c:pt idx="2717">
                  <c:v>1.502</c:v>
                </c:pt>
                <c:pt idx="2718">
                  <c:v>1.851</c:v>
                </c:pt>
                <c:pt idx="2719">
                  <c:v>2.431</c:v>
                </c:pt>
                <c:pt idx="2720">
                  <c:v>2.978</c:v>
                </c:pt>
                <c:pt idx="2721">
                  <c:v>3.277</c:v>
                </c:pt>
                <c:pt idx="2722">
                  <c:v>3.584</c:v>
                </c:pt>
                <c:pt idx="2723">
                  <c:v>4.883</c:v>
                </c:pt>
                <c:pt idx="2724">
                  <c:v>4.883</c:v>
                </c:pt>
                <c:pt idx="2725">
                  <c:v>-7.289</c:v>
                </c:pt>
                <c:pt idx="2726">
                  <c:v>-7.289</c:v>
                </c:pt>
                <c:pt idx="2727">
                  <c:v>0.248</c:v>
                </c:pt>
                <c:pt idx="2728">
                  <c:v>0.745</c:v>
                </c:pt>
                <c:pt idx="2729">
                  <c:v>1.215</c:v>
                </c:pt>
                <c:pt idx="2730">
                  <c:v>1.988</c:v>
                </c:pt>
                <c:pt idx="2731">
                  <c:v>2.440</c:v>
                </c:pt>
                <c:pt idx="2732">
                  <c:v>2.903</c:v>
                </c:pt>
                <c:pt idx="2733">
                  <c:v>3.353</c:v>
                </c:pt>
                <c:pt idx="2734">
                  <c:v>3.766</c:v>
                </c:pt>
                <c:pt idx="2735">
                  <c:v>4.421</c:v>
                </c:pt>
                <c:pt idx="2736">
                  <c:v>4.789</c:v>
                </c:pt>
                <c:pt idx="2737">
                  <c:v>5.136</c:v>
                </c:pt>
                <c:pt idx="2738">
                  <c:v>5.667</c:v>
                </c:pt>
                <c:pt idx="2739">
                  <c:v>5.953</c:v>
                </c:pt>
                <c:pt idx="2740">
                  <c:v>6.226</c:v>
                </c:pt>
                <c:pt idx="2741">
                  <c:v>6.470</c:v>
                </c:pt>
                <c:pt idx="2742">
                  <c:v>6.684</c:v>
                </c:pt>
                <c:pt idx="2743">
                  <c:v>6.866</c:v>
                </c:pt>
                <c:pt idx="2744">
                  <c:v>7.017</c:v>
                </c:pt>
                <c:pt idx="2745">
                  <c:v>7.135</c:v>
                </c:pt>
                <c:pt idx="2746">
                  <c:v>7.215</c:v>
                </c:pt>
                <c:pt idx="2747">
                  <c:v>7.283</c:v>
                </c:pt>
                <c:pt idx="2748">
                  <c:v>7.283</c:v>
                </c:pt>
                <c:pt idx="2749">
                  <c:v>7.249</c:v>
                </c:pt>
                <c:pt idx="2750">
                  <c:v>7.181</c:v>
                </c:pt>
                <c:pt idx="2751">
                  <c:v>7.085</c:v>
                </c:pt>
                <c:pt idx="2752">
                  <c:v>6.858</c:v>
                </c:pt>
                <c:pt idx="2753">
                  <c:v>6.684</c:v>
                </c:pt>
                <c:pt idx="2754">
                  <c:v>6.480</c:v>
                </c:pt>
                <c:pt idx="2755">
                  <c:v>6.092</c:v>
                </c:pt>
                <c:pt idx="2756">
                  <c:v>5.651</c:v>
                </c:pt>
                <c:pt idx="2757">
                  <c:v>5.151</c:v>
                </c:pt>
                <c:pt idx="2758">
                  <c:v>4.598</c:v>
                </c:pt>
                <c:pt idx="2759">
                  <c:v>3.996</c:v>
                </c:pt>
                <c:pt idx="2760">
                  <c:v>3.352</c:v>
                </c:pt>
                <c:pt idx="2761">
                  <c:v>2.673</c:v>
                </c:pt>
                <c:pt idx="2762">
                  <c:v>1.966</c:v>
                </c:pt>
                <c:pt idx="2763">
                  <c:v>1.215</c:v>
                </c:pt>
                <c:pt idx="2764">
                  <c:v>0.745</c:v>
                </c:pt>
                <c:pt idx="2765">
                  <c:v>0.248</c:v>
                </c:pt>
                <c:pt idx="2766">
                  <c:v>-7.169</c:v>
                </c:pt>
                <c:pt idx="2767">
                  <c:v>-8.584</c:v>
                </c:pt>
                <c:pt idx="2768">
                  <c:v>-8.584</c:v>
                </c:pt>
                <c:pt idx="2769">
                  <c:v>0.293</c:v>
                </c:pt>
                <c:pt idx="2770">
                  <c:v>0.878</c:v>
                </c:pt>
                <c:pt idx="2771">
                  <c:v>1.446</c:v>
                </c:pt>
                <c:pt idx="2772">
                  <c:v>2.327</c:v>
                </c:pt>
                <c:pt idx="2773">
                  <c:v>2.874</c:v>
                </c:pt>
                <c:pt idx="2774">
                  <c:v>3.420</c:v>
                </c:pt>
                <c:pt idx="2775">
                  <c:v>3.949</c:v>
                </c:pt>
                <c:pt idx="2776">
                  <c:v>4.449</c:v>
                </c:pt>
                <c:pt idx="2777">
                  <c:v>5.196</c:v>
                </c:pt>
                <c:pt idx="2778">
                  <c:v>5.641</c:v>
                </c:pt>
                <c:pt idx="2779">
                  <c:v>6.061</c:v>
                </c:pt>
                <c:pt idx="2780">
                  <c:v>6.666</c:v>
                </c:pt>
                <c:pt idx="2781">
                  <c:v>7.013</c:v>
                </c:pt>
                <c:pt idx="2782">
                  <c:v>7.334</c:v>
                </c:pt>
                <c:pt idx="2783">
                  <c:v>7.621</c:v>
                </c:pt>
                <c:pt idx="2784">
                  <c:v>7.873</c:v>
                </c:pt>
                <c:pt idx="2785">
                  <c:v>8.088</c:v>
                </c:pt>
                <c:pt idx="2786">
                  <c:v>8.265</c:v>
                </c:pt>
                <c:pt idx="2787">
                  <c:v>8.404</c:v>
                </c:pt>
                <c:pt idx="2788">
                  <c:v>8.502</c:v>
                </c:pt>
                <c:pt idx="2789">
                  <c:v>8.579</c:v>
                </c:pt>
                <c:pt idx="2790">
                  <c:v>8.579</c:v>
                </c:pt>
                <c:pt idx="2791">
                  <c:v>8.539</c:v>
                </c:pt>
                <c:pt idx="2792">
                  <c:v>8.459</c:v>
                </c:pt>
                <c:pt idx="2793">
                  <c:v>8.342</c:v>
                </c:pt>
                <c:pt idx="2794">
                  <c:v>8.084</c:v>
                </c:pt>
                <c:pt idx="2795">
                  <c:v>7.873</c:v>
                </c:pt>
                <c:pt idx="2796">
                  <c:v>7.626</c:v>
                </c:pt>
                <c:pt idx="2797">
                  <c:v>7.177</c:v>
                </c:pt>
                <c:pt idx="2798">
                  <c:v>6.658</c:v>
                </c:pt>
                <c:pt idx="2799">
                  <c:v>6.069</c:v>
                </c:pt>
                <c:pt idx="2800">
                  <c:v>5.416</c:v>
                </c:pt>
                <c:pt idx="2801">
                  <c:v>4.707</c:v>
                </c:pt>
                <c:pt idx="2802">
                  <c:v>3.949</c:v>
                </c:pt>
                <c:pt idx="2803">
                  <c:v>3.149</c:v>
                </c:pt>
                <c:pt idx="2804">
                  <c:v>2.316</c:v>
                </c:pt>
                <c:pt idx="2805">
                  <c:v>1.446</c:v>
                </c:pt>
                <c:pt idx="2806">
                  <c:v>0.878</c:v>
                </c:pt>
                <c:pt idx="2807">
                  <c:v>0.293</c:v>
                </c:pt>
                <c:pt idx="2808">
                  <c:v>-8.464</c:v>
                </c:pt>
                <c:pt idx="2809">
                  <c:v>-9.600</c:v>
                </c:pt>
                <c:pt idx="2810">
                  <c:v>-9.600</c:v>
                </c:pt>
                <c:pt idx="2811">
                  <c:v>0.328</c:v>
                </c:pt>
                <c:pt idx="2812">
                  <c:v>0.982</c:v>
                </c:pt>
                <c:pt idx="2813">
                  <c:v>1.628</c:v>
                </c:pt>
                <c:pt idx="2814">
                  <c:v>2.593</c:v>
                </c:pt>
                <c:pt idx="2815">
                  <c:v>3.215</c:v>
                </c:pt>
                <c:pt idx="2816">
                  <c:v>3.825</c:v>
                </c:pt>
                <c:pt idx="2817">
                  <c:v>4.417</c:v>
                </c:pt>
                <c:pt idx="2818">
                  <c:v>4.985</c:v>
                </c:pt>
                <c:pt idx="2819">
                  <c:v>5.803</c:v>
                </c:pt>
                <c:pt idx="2820">
                  <c:v>6.309</c:v>
                </c:pt>
                <c:pt idx="2821">
                  <c:v>6.786</c:v>
                </c:pt>
                <c:pt idx="2822">
                  <c:v>7.449</c:v>
                </c:pt>
                <c:pt idx="2823">
                  <c:v>7.843</c:v>
                </c:pt>
                <c:pt idx="2824">
                  <c:v>8.202</c:v>
                </c:pt>
                <c:pt idx="2825">
                  <c:v>8.523</c:v>
                </c:pt>
                <c:pt idx="2826">
                  <c:v>8.805</c:v>
                </c:pt>
                <c:pt idx="2827">
                  <c:v>9.045</c:v>
                </c:pt>
                <c:pt idx="2828">
                  <c:v>9.244</c:v>
                </c:pt>
                <c:pt idx="2829">
                  <c:v>9.399</c:v>
                </c:pt>
                <c:pt idx="2830">
                  <c:v>9.510</c:v>
                </c:pt>
                <c:pt idx="2831">
                  <c:v>9.594</c:v>
                </c:pt>
                <c:pt idx="2832">
                  <c:v>9.594</c:v>
                </c:pt>
                <c:pt idx="2833">
                  <c:v>9.549</c:v>
                </c:pt>
                <c:pt idx="2834">
                  <c:v>9.460</c:v>
                </c:pt>
                <c:pt idx="2835">
                  <c:v>9.328</c:v>
                </c:pt>
                <c:pt idx="2836">
                  <c:v>9.044</c:v>
                </c:pt>
                <c:pt idx="2837">
                  <c:v>8.805</c:v>
                </c:pt>
                <c:pt idx="2838">
                  <c:v>8.525</c:v>
                </c:pt>
                <c:pt idx="2839">
                  <c:v>8.027</c:v>
                </c:pt>
                <c:pt idx="2840">
                  <c:v>7.446</c:v>
                </c:pt>
                <c:pt idx="2841">
                  <c:v>6.788</c:v>
                </c:pt>
                <c:pt idx="2842">
                  <c:v>6.058</c:v>
                </c:pt>
                <c:pt idx="2843">
                  <c:v>5.265</c:v>
                </c:pt>
                <c:pt idx="2844">
                  <c:v>4.416</c:v>
                </c:pt>
                <c:pt idx="2845">
                  <c:v>3.522</c:v>
                </c:pt>
                <c:pt idx="2846">
                  <c:v>2.590</c:v>
                </c:pt>
                <c:pt idx="2847">
                  <c:v>1.628</c:v>
                </c:pt>
                <c:pt idx="2848">
                  <c:v>0.982</c:v>
                </c:pt>
                <c:pt idx="2849">
                  <c:v>0.328</c:v>
                </c:pt>
                <c:pt idx="2850">
                  <c:v>-9.480</c:v>
                </c:pt>
                <c:pt idx="2851">
                  <c:v>-9.201</c:v>
                </c:pt>
                <c:pt idx="2852">
                  <c:v>3.729</c:v>
                </c:pt>
                <c:pt idx="2853">
                  <c:v>4.739</c:v>
                </c:pt>
                <c:pt idx="2854">
                  <c:v>5.149</c:v>
                </c:pt>
                <c:pt idx="2855">
                  <c:v>5.511</c:v>
                </c:pt>
                <c:pt idx="2856">
                  <c:v>5.838</c:v>
                </c:pt>
                <c:pt idx="2857">
                  <c:v>5.999</c:v>
                </c:pt>
                <c:pt idx="2858">
                  <c:v>6.136</c:v>
                </c:pt>
                <c:pt idx="2859">
                  <c:v>6.331</c:v>
                </c:pt>
                <c:pt idx="2860">
                  <c:v>6.408</c:v>
                </c:pt>
                <c:pt idx="2861">
                  <c:v>6.457</c:v>
                </c:pt>
                <c:pt idx="2862">
                  <c:v>0.151</c:v>
                </c:pt>
                <c:pt idx="2863">
                  <c:v>#¡CAMPO!</c:v>
                </c:pt>
                <c:pt idx="2864">
                  <c:v>-1.743</c:v>
                </c:pt>
                <c:pt idx="2865">
                  <c:v>6.385</c:v>
                </c:pt>
                <c:pt idx="2866">
                  <c:v>6.273</c:v>
                </c:pt>
                <c:pt idx="2867">
                  <c:v>6.149</c:v>
                </c:pt>
                <c:pt idx="2868">
                  <c:v>5.929</c:v>
                </c:pt>
                <c:pt idx="2869">
                  <c:v>-3.603</c:v>
                </c:pt>
                <c:pt idx="2870">
                  <c:v>-5.463</c:v>
                </c:pt>
                <c:pt idx="2871">
                  <c:v>5.222</c:v>
                </c:pt>
                <c:pt idx="2872">
                  <c:v>4.715</c:v>
                </c:pt>
                <c:pt idx="2873">
                  <c:v>4.303</c:v>
                </c:pt>
                <c:pt idx="2874">
                  <c:v>-6.497</c:v>
                </c:pt>
                <c:pt idx="2875">
                  <c:v>-6.497</c:v>
                </c:pt>
                <c:pt idx="2876">
                  <c:v>3.176</c:v>
                </c:pt>
                <c:pt idx="2877">
                  <c:v>2.510</c:v>
                </c:pt>
                <c:pt idx="2878">
                  <c:v>2.153</c:v>
                </c:pt>
                <c:pt idx="2879">
                  <c:v>1.796</c:v>
                </c:pt>
                <c:pt idx="2880">
                  <c:v>-6.497</c:v>
                </c:pt>
                <c:pt idx="2881">
                  <c:v>-6.497</c:v>
                </c:pt>
                <c:pt idx="2882">
                  <c:v>0.086</c:v>
                </c:pt>
                <c:pt idx="2883">
                  <c:v>-1.773</c:v>
                </c:pt>
                <c:pt idx="2884">
                  <c:v>-6.497</c:v>
                </c:pt>
                <c:pt idx="2885">
                  <c:v>-6.497</c:v>
                </c:pt>
                <c:pt idx="2886">
                  <c:v>-3.631</c:v>
                </c:pt>
                <c:pt idx="2887">
                  <c:v>-5.489</c:v>
                </c:pt>
                <c:pt idx="2888">
                  <c:v>-6.497</c:v>
                </c:pt>
                <c:pt idx="2889">
                  <c:v>-6.497</c:v>
                </c:pt>
                <c:pt idx="2890">
                  <c:v>#¡CAMPO!</c:v>
                </c:pt>
                <c:pt idx="2891">
                  <c:v>#¡CAMPO!</c:v>
                </c:pt>
                <c:pt idx="2892">
                  <c:v>#¡CAMPO!</c:v>
                </c:pt>
                <c:pt idx="2893">
                  <c:v>#¡CAMPO!</c:v>
                </c:pt>
                <c:pt idx="2894">
                  <c:v>#¡CAMPO!</c:v>
                </c:pt>
                <c:pt idx="2895">
                  <c:v>-1.048</c:v>
                </c:pt>
                <c:pt idx="2896">
                  <c:v>-1.055</c:v>
                </c:pt>
                <c:pt idx="2897">
                  <c:v>-1.018</c:v>
                </c:pt>
                <c:pt idx="2898">
                  <c:v>#¡CAMPO!</c:v>
                </c:pt>
                <c:pt idx="2899">
                  <c:v>#¡CAMPO!</c:v>
                </c:pt>
                <c:pt idx="2900">
                  <c:v>#¡CAMPO!</c:v>
                </c:pt>
                <c:pt idx="2901">
                  <c:v>#¡CAMPO!</c:v>
                </c:pt>
                <c:pt idx="2902">
                  <c:v>#¡CAMPO!</c:v>
                </c:pt>
                <c:pt idx="2903">
                  <c:v>#¡CAMPO!</c:v>
                </c:pt>
                <c:pt idx="2904">
                  <c:v>0.068</c:v>
                </c:pt>
                <c:pt idx="2905">
                  <c:v>0.199</c:v>
                </c:pt>
                <c:pt idx="2906">
                  <c:v>0.421</c:v>
                </c:pt>
                <c:pt idx="2907">
                  <c:v>0.61</c:v>
                </c:pt>
                <c:pt idx="2908">
                  <c:v>0.773</c:v>
                </c:pt>
                <c:pt idx="2909">
                  <c:v>0.904</c:v>
                </c:pt>
                <c:pt idx="2910">
                  <c:v>0.997</c:v>
                </c:pt>
                <c:pt idx="2911">
                  <c:v>1.048</c:v>
                </c:pt>
                <c:pt idx="2912">
                  <c:v>1.043</c:v>
                </c:pt>
                <c:pt idx="2913">
                  <c:v>0.97</c:v>
                </c:pt>
                <c:pt idx="2914">
                  <c:v>0.864</c:v>
                </c:pt>
                <c:pt idx="2915">
                  <c:v>0.722</c:v>
                </c:pt>
                <c:pt idx="2916">
                  <c:v>0.55</c:v>
                </c:pt>
                <c:pt idx="2917">
                  <c:v>0.354</c:v>
                </c:pt>
                <c:pt idx="2918">
                  <c:v>0.144</c:v>
                </c:pt>
                <c:pt idx="2919">
                  <c:v>#¡CAMPO!</c:v>
                </c:pt>
                <c:pt idx="2920">
                  <c:v>#¡CAMPO!</c:v>
                </c:pt>
                <c:pt idx="2921">
                  <c:v>#¡CAMPO!</c:v>
                </c:pt>
                <c:pt idx="2922">
                  <c:v>#¡CAMPO!</c:v>
                </c:pt>
                <c:pt idx="2923">
                  <c:v>-1.199</c:v>
                </c:pt>
                <c:pt idx="2924">
                  <c:v>-1.519</c:v>
                </c:pt>
                <c:pt idx="2925">
                  <c:v>-1.776</c:v>
                </c:pt>
                <c:pt idx="2926">
                  <c:v>-1.959</c:v>
                </c:pt>
                <c:pt idx="2927">
                  <c:v>-2.059</c:v>
                </c:pt>
                <c:pt idx="2928">
                  <c:v>-2.074</c:v>
                </c:pt>
                <c:pt idx="2929">
                  <c:v>-2.001</c:v>
                </c:pt>
                <c:pt idx="2930">
                  <c:v>-1.859</c:v>
                </c:pt>
                <c:pt idx="2931">
                  <c:v>-1.701</c:v>
                </c:pt>
                <c:pt idx="2932">
                  <c:v>-1.419</c:v>
                </c:pt>
                <c:pt idx="2933">
                  <c:v>-1.080</c:v>
                </c:pt>
                <c:pt idx="2934">
                  <c:v>#¡CAMPO!</c:v>
                </c:pt>
                <c:pt idx="2935">
                  <c:v>#¡CAMPO!</c:v>
                </c:pt>
                <c:pt idx="2936">
                  <c:v>0.112</c:v>
                </c:pt>
                <c:pt idx="2937">
                  <c:v>0.418</c:v>
                </c:pt>
                <c:pt idx="2938">
                  <c:v>0.828</c:v>
                </c:pt>
                <c:pt idx="2939">
                  <c:v>1.199</c:v>
                </c:pt>
                <c:pt idx="2940">
                  <c:v>1.519</c:v>
                </c:pt>
                <c:pt idx="2941">
                  <c:v>1.776</c:v>
                </c:pt>
                <c:pt idx="2942">
                  <c:v>1.959</c:v>
                </c:pt>
                <c:pt idx="2943">
                  <c:v>2.059</c:v>
                </c:pt>
                <c:pt idx="2944">
                  <c:v>2.074</c:v>
                </c:pt>
                <c:pt idx="2945">
                  <c:v>2.037</c:v>
                </c:pt>
                <c:pt idx="2946">
                  <c:v>1.907</c:v>
                </c:pt>
                <c:pt idx="2947">
                  <c:v>1.698</c:v>
                </c:pt>
                <c:pt idx="2948">
                  <c:v>1.419</c:v>
                </c:pt>
                <c:pt idx="2949">
                  <c:v>1.080</c:v>
                </c:pt>
                <c:pt idx="2950">
                  <c:v>0.696</c:v>
                </c:pt>
                <c:pt idx="2951">
                  <c:v>0.283</c:v>
                </c:pt>
                <c:pt idx="2952">
                  <c:v>#¡CAMPO!</c:v>
                </c:pt>
                <c:pt idx="2953">
                  <c:v>#¡CAMPO!</c:v>
                </c:pt>
                <c:pt idx="2954">
                  <c:v>#¡CAMPO!</c:v>
                </c:pt>
                <c:pt idx="2955">
                  <c:v>#¡CAMPO!</c:v>
                </c:pt>
                <c:pt idx="2956">
                  <c:v>#¡CAMPO!</c:v>
                </c:pt>
                <c:pt idx="2957">
                  <c:v>#¡CAMPO!</c:v>
                </c:pt>
                <c:pt idx="2958">
                  <c:v>#¡CAMPO!</c:v>
                </c:pt>
                <c:pt idx="2959">
                  <c:v>#¡CAMPO!</c:v>
                </c:pt>
                <c:pt idx="2960">
                  <c:v>#¡CAMPO!</c:v>
                </c:pt>
                <c:pt idx="2961">
                  <c:v>#¡CAMPO!</c:v>
                </c:pt>
                <c:pt idx="2962">
                  <c:v>#¡CAMPO!</c:v>
                </c:pt>
                <c:pt idx="2963">
                  <c:v>-1.000</c:v>
                </c:pt>
                <c:pt idx="2964">
                  <c:v>#¡CAMPO!</c:v>
                </c:pt>
                <c:pt idx="2965">
                  <c:v>#¡CAMPO!</c:v>
                </c:pt>
                <c:pt idx="2966">
                  <c:v>#¡CAMPO!</c:v>
                </c:pt>
                <c:pt idx="2967">
                  <c:v>#¡CAMPO!</c:v>
                </c:pt>
                <c:pt idx="2968">
                  <c:v>#¡CAMPO!</c:v>
                </c:pt>
                <c:pt idx="2969">
                  <c:v>#¡CAMPO!</c:v>
                </c:pt>
                <c:pt idx="2970">
                  <c:v>#¡CAMPO!</c:v>
                </c:pt>
                <c:pt idx="2971">
                  <c:v>0.04</c:v>
                </c:pt>
                <c:pt idx="2972">
                  <c:v>0.194</c:v>
                </c:pt>
                <c:pt idx="2973">
                  <c:v>0.399</c:v>
                </c:pt>
                <c:pt idx="2974">
                  <c:v>0.578</c:v>
                </c:pt>
                <c:pt idx="2975">
                  <c:v>0.733</c:v>
                </c:pt>
                <c:pt idx="2976">
                  <c:v>0.856</c:v>
                </c:pt>
                <c:pt idx="2977">
                  <c:v>0.944</c:v>
                </c:pt>
                <c:pt idx="2978">
                  <c:v>0.993</c:v>
                </c:pt>
                <c:pt idx="2979">
                  <c:v>1.000</c:v>
                </c:pt>
                <c:pt idx="2980">
                  <c:v>0.965</c:v>
                </c:pt>
                <c:pt idx="2981">
                  <c:v>0.89</c:v>
                </c:pt>
                <c:pt idx="2982">
                  <c:v>0.773</c:v>
                </c:pt>
                <c:pt idx="2983">
                  <c:v>0.655</c:v>
                </c:pt>
                <c:pt idx="2984">
                  <c:v>0.531</c:v>
                </c:pt>
                <c:pt idx="2985">
                  <c:v>0.336</c:v>
                </c:pt>
                <c:pt idx="2986">
                  <c:v>0.136</c:v>
                </c:pt>
                <c:pt idx="2987">
                  <c:v>#¡CAMPO!</c:v>
                </c:pt>
                <c:pt idx="2988">
                  <c:v>#¡CAMPO!</c:v>
                </c:pt>
                <c:pt idx="2989">
                  <c:v>#¡CAMPO!</c:v>
                </c:pt>
                <c:pt idx="2990">
                  <c:v>-1.167</c:v>
                </c:pt>
                <c:pt idx="2991">
                  <c:v>-1.479</c:v>
                </c:pt>
                <c:pt idx="2992">
                  <c:v>-1.729</c:v>
                </c:pt>
                <c:pt idx="2993">
                  <c:v>-1.907</c:v>
                </c:pt>
                <c:pt idx="2994">
                  <c:v>-2.004</c:v>
                </c:pt>
                <c:pt idx="2995">
                  <c:v>-2.019</c:v>
                </c:pt>
                <c:pt idx="2996">
                  <c:v>-1.948</c:v>
                </c:pt>
                <c:pt idx="2997">
                  <c:v>-1.824</c:v>
                </c:pt>
                <c:pt idx="2998">
                  <c:v>-1.655</c:v>
                </c:pt>
                <c:pt idx="2999">
                  <c:v>-1.381</c:v>
                </c:pt>
                <c:pt idx="3000">
                  <c:v>-1.051</c:v>
                </c:pt>
                <c:pt idx="3001">
                  <c:v>#¡CAMPO!</c:v>
                </c:pt>
                <c:pt idx="3002">
                  <c:v>#¡CAMPO!</c:v>
                </c:pt>
                <c:pt idx="3003">
                  <c:v>0.076</c:v>
                </c:pt>
                <c:pt idx="3004">
                  <c:v>0.409</c:v>
                </c:pt>
                <c:pt idx="3005">
                  <c:v>0.806</c:v>
                </c:pt>
                <c:pt idx="3006">
                  <c:v>1.167</c:v>
                </c:pt>
                <c:pt idx="3007">
                  <c:v>1.479</c:v>
                </c:pt>
                <c:pt idx="3008">
                  <c:v>1.729</c:v>
                </c:pt>
                <c:pt idx="3009">
                  <c:v>1.907</c:v>
                </c:pt>
                <c:pt idx="3010">
                  <c:v>2.004</c:v>
                </c:pt>
                <c:pt idx="3011">
                  <c:v>2.019</c:v>
                </c:pt>
                <c:pt idx="3012">
                  <c:v>1.948</c:v>
                </c:pt>
                <c:pt idx="3013">
                  <c:v>1.796</c:v>
                </c:pt>
                <c:pt idx="3014">
                  <c:v>1.568</c:v>
                </c:pt>
                <c:pt idx="3015">
                  <c:v>1.324</c:v>
                </c:pt>
                <c:pt idx="3016">
                  <c:v>1.054</c:v>
                </c:pt>
                <c:pt idx="3017">
                  <c:v>0.678</c:v>
                </c:pt>
                <c:pt idx="3018">
                  <c:v>0.276</c:v>
                </c:pt>
                <c:pt idx="3019">
                  <c:v>#¡CAMPO!</c:v>
                </c:pt>
                <c:pt idx="3020">
                  <c:v>#¡CAMPO!</c:v>
                </c:pt>
                <c:pt idx="3021">
                  <c:v>#¡CAMPO!</c:v>
                </c:pt>
                <c:pt idx="3022">
                  <c:v>#¡CAMPO!</c:v>
                </c:pt>
                <c:pt idx="3023">
                  <c:v>#¡CAMPO!</c:v>
                </c:pt>
                <c:pt idx="3024">
                  <c:v>#¡CAMPO!</c:v>
                </c:pt>
                <c:pt idx="3025">
                  <c:v>#¡CAMPO!</c:v>
                </c:pt>
                <c:pt idx="3026">
                  <c:v>#¡CAMPO!</c:v>
                </c:pt>
                <c:pt idx="3027">
                  <c:v>#¡CAMPO!</c:v>
                </c:pt>
                <c:pt idx="3028">
                  <c:v>#¡CAMPO!</c:v>
                </c:pt>
                <c:pt idx="3029">
                  <c:v>#¡CAMPO!</c:v>
                </c:pt>
                <c:pt idx="3030">
                  <c:v>#¡CAMPO!</c:v>
                </c:pt>
                <c:pt idx="3031">
                  <c:v>#¡CAMPO!</c:v>
                </c:pt>
                <c:pt idx="3032">
                  <c:v>#¡CAMPO!</c:v>
                </c:pt>
                <c:pt idx="3033">
                  <c:v>#¡CAMPO!</c:v>
                </c:pt>
                <c:pt idx="3034">
                  <c:v>#¡CAMPO!</c:v>
                </c:pt>
                <c:pt idx="3035">
                  <c:v>#¡CAMPO!</c:v>
                </c:pt>
                <c:pt idx="3036">
                  <c:v>#¡CAMPO!</c:v>
                </c:pt>
                <c:pt idx="3037">
                  <c:v>0.019</c:v>
                </c:pt>
                <c:pt idx="3038">
                  <c:v>0.178</c:v>
                </c:pt>
                <c:pt idx="3039">
                  <c:v>0.362</c:v>
                </c:pt>
                <c:pt idx="3040">
                  <c:v>0.524</c:v>
                </c:pt>
                <c:pt idx="3041">
                  <c:v>0.682</c:v>
                </c:pt>
                <c:pt idx="3042">
                  <c:v>0.833</c:v>
                </c:pt>
                <c:pt idx="3043">
                  <c:v>0.889</c:v>
                </c:pt>
                <c:pt idx="3044">
                  <c:v>0.908</c:v>
                </c:pt>
                <c:pt idx="3045">
                  <c:v>0.889</c:v>
                </c:pt>
                <c:pt idx="3046">
                  <c:v>0.833</c:v>
                </c:pt>
                <c:pt idx="3047">
                  <c:v>0.682</c:v>
                </c:pt>
                <c:pt idx="3048">
                  <c:v>0.524</c:v>
                </c:pt>
                <c:pt idx="3049">
                  <c:v>0.362</c:v>
                </c:pt>
                <c:pt idx="3050">
                  <c:v>0.185</c:v>
                </c:pt>
                <c:pt idx="3051">
                  <c:v>#¡CAMPO!</c:v>
                </c:pt>
                <c:pt idx="3052">
                  <c:v>#¡CAMPO!</c:v>
                </c:pt>
                <c:pt idx="3053">
                  <c:v>#¡CAMPO!</c:v>
                </c:pt>
                <c:pt idx="3054">
                  <c:v>-1.118</c:v>
                </c:pt>
                <c:pt idx="3055">
                  <c:v>-1.312</c:v>
                </c:pt>
                <c:pt idx="3056">
                  <c:v>-1.576</c:v>
                </c:pt>
                <c:pt idx="3057">
                  <c:v>-1.769</c:v>
                </c:pt>
                <c:pt idx="3058">
                  <c:v>-1.888</c:v>
                </c:pt>
                <c:pt idx="3059">
                  <c:v>-1.929</c:v>
                </c:pt>
                <c:pt idx="3060">
                  <c:v>-1.888</c:v>
                </c:pt>
                <c:pt idx="3061">
                  <c:v>-1.769</c:v>
                </c:pt>
                <c:pt idx="3062">
                  <c:v>-1.576</c:v>
                </c:pt>
                <c:pt idx="3063">
                  <c:v>-1.316</c:v>
                </c:pt>
                <c:pt idx="3064">
                  <c:v>-1.002</c:v>
                </c:pt>
                <c:pt idx="3065">
                  <c:v>#¡CAMPO!</c:v>
                </c:pt>
                <c:pt idx="3066">
                  <c:v>#¡CAMPO!</c:v>
                </c:pt>
                <c:pt idx="3067">
                  <c:v>0.05</c:v>
                </c:pt>
                <c:pt idx="3068">
                  <c:v>0.39</c:v>
                </c:pt>
                <c:pt idx="3069">
                  <c:v>0.768</c:v>
                </c:pt>
                <c:pt idx="3070">
                  <c:v>1.112</c:v>
                </c:pt>
                <c:pt idx="3071">
                  <c:v>1.415</c:v>
                </c:pt>
                <c:pt idx="3072">
                  <c:v>1.572</c:v>
                </c:pt>
                <c:pt idx="3073">
                  <c:v>1.769</c:v>
                </c:pt>
                <c:pt idx="3074">
                  <c:v>1.888</c:v>
                </c:pt>
                <c:pt idx="3075">
                  <c:v>1.929</c:v>
                </c:pt>
                <c:pt idx="3076">
                  <c:v>1.888</c:v>
                </c:pt>
                <c:pt idx="3077">
                  <c:v>1.769</c:v>
                </c:pt>
                <c:pt idx="3078">
                  <c:v>1.572</c:v>
                </c:pt>
                <c:pt idx="3079">
                  <c:v>1.415</c:v>
                </c:pt>
                <c:pt idx="3080">
                  <c:v>1.112</c:v>
                </c:pt>
                <c:pt idx="3081">
                  <c:v>0.768</c:v>
                </c:pt>
                <c:pt idx="3082">
                  <c:v>0.392</c:v>
                </c:pt>
                <c:pt idx="3083">
                  <c:v>0</c:v>
                </c:pt>
                <c:pt idx="3084">
                  <c:v>#¡CAMPO!</c:v>
                </c:pt>
                <c:pt idx="3085">
                  <c:v>#¡CAMPO!</c:v>
                </c:pt>
                <c:pt idx="3086">
                  <c:v>#¡CAMPO!</c:v>
                </c:pt>
                <c:pt idx="3087">
                  <c:v>#¡CAMPO!</c:v>
                </c:pt>
                <c:pt idx="3088">
                  <c:v>#¡CAMPO!</c:v>
                </c:pt>
                <c:pt idx="3089">
                  <c:v>#¡CAMPO!</c:v>
                </c:pt>
                <c:pt idx="3090">
                  <c:v>#¡CAMPO!</c:v>
                </c:pt>
                <c:pt idx="3091">
                  <c:v>#¡CAMPO!</c:v>
                </c:pt>
                <c:pt idx="3092">
                  <c:v>#¡CAMPO!</c:v>
                </c:pt>
                <c:pt idx="3093">
                  <c:v>#¡CAMPO!</c:v>
                </c:pt>
                <c:pt idx="3094">
                  <c:v>#¡CAMPO!</c:v>
                </c:pt>
                <c:pt idx="3095">
                  <c:v>#¡CAMPO!</c:v>
                </c:pt>
                <c:pt idx="3096">
                  <c:v>#¡CAMPO!</c:v>
                </c:pt>
                <c:pt idx="3097">
                  <c:v>#¡CAMPO!</c:v>
                </c:pt>
                <c:pt idx="3098">
                  <c:v>#¡CAMPO!</c:v>
                </c:pt>
                <c:pt idx="3099">
                  <c:v>#¡CAMPO!</c:v>
                </c:pt>
                <c:pt idx="3100">
                  <c:v>#¡CAMPO!</c:v>
                </c:pt>
                <c:pt idx="3101">
                  <c:v>#¡CAMPO!</c:v>
                </c:pt>
                <c:pt idx="3102">
                  <c:v>0.151</c:v>
                </c:pt>
                <c:pt idx="3103">
                  <c:v>0.306</c:v>
                </c:pt>
                <c:pt idx="3104">
                  <c:v>0.443</c:v>
                </c:pt>
                <c:pt idx="3105">
                  <c:v>0.602</c:v>
                </c:pt>
                <c:pt idx="3106">
                  <c:v>0.705</c:v>
                </c:pt>
                <c:pt idx="3107">
                  <c:v>0.753</c:v>
                </c:pt>
                <c:pt idx="3108">
                  <c:v>0.774</c:v>
                </c:pt>
                <c:pt idx="3109">
                  <c:v>0.724</c:v>
                </c:pt>
                <c:pt idx="3110">
                  <c:v>0.657</c:v>
                </c:pt>
                <c:pt idx="3111">
                  <c:v>0.562</c:v>
                </c:pt>
                <c:pt idx="3112">
                  <c:v>0.443</c:v>
                </c:pt>
                <c:pt idx="3113">
                  <c:v>0.306</c:v>
                </c:pt>
                <c:pt idx="3114">
                  <c:v>0.066</c:v>
                </c:pt>
                <c:pt idx="3115">
                  <c:v>#¡CAMPO!</c:v>
                </c:pt>
                <c:pt idx="3116">
                  <c:v>#¡CAMPO!</c:v>
                </c:pt>
                <c:pt idx="3117">
                  <c:v>#¡CAMPO!</c:v>
                </c:pt>
                <c:pt idx="3118">
                  <c:v>#¡CAMPO!</c:v>
                </c:pt>
                <c:pt idx="3119">
                  <c:v>-1.221</c:v>
                </c:pt>
                <c:pt idx="3120">
                  <c:v>-1.462</c:v>
                </c:pt>
                <c:pt idx="3121">
                  <c:v>-1.641</c:v>
                </c:pt>
                <c:pt idx="3122">
                  <c:v>-1.752</c:v>
                </c:pt>
                <c:pt idx="3123">
                  <c:v>-1.790</c:v>
                </c:pt>
                <c:pt idx="3124">
                  <c:v>-1.752</c:v>
                </c:pt>
                <c:pt idx="3125">
                  <c:v>-1.641</c:v>
                </c:pt>
                <c:pt idx="3126">
                  <c:v>-1.462</c:v>
                </c:pt>
                <c:pt idx="3127">
                  <c:v>-1.221</c:v>
                </c:pt>
                <c:pt idx="3128">
                  <c:v>#¡CAMPO!</c:v>
                </c:pt>
                <c:pt idx="3129">
                  <c:v>#¡CAMPO!</c:v>
                </c:pt>
                <c:pt idx="3130">
                  <c:v>#¡CAMPO!</c:v>
                </c:pt>
                <c:pt idx="3131">
                  <c:v>0.037</c:v>
                </c:pt>
                <c:pt idx="3132">
                  <c:v>0.362</c:v>
                </c:pt>
                <c:pt idx="3133">
                  <c:v>0.713</c:v>
                </c:pt>
                <c:pt idx="3134">
                  <c:v>1.032</c:v>
                </c:pt>
                <c:pt idx="3135">
                  <c:v>1.313</c:v>
                </c:pt>
                <c:pt idx="3136">
                  <c:v>1.459</c:v>
                </c:pt>
                <c:pt idx="3137">
                  <c:v>1.641</c:v>
                </c:pt>
                <c:pt idx="3138">
                  <c:v>1.752</c:v>
                </c:pt>
                <c:pt idx="3139">
                  <c:v>1.790</c:v>
                </c:pt>
                <c:pt idx="3140">
                  <c:v>1.775</c:v>
                </c:pt>
                <c:pt idx="3141">
                  <c:v>1.686</c:v>
                </c:pt>
                <c:pt idx="3142">
                  <c:v>1.529</c:v>
                </c:pt>
                <c:pt idx="3143">
                  <c:v>1.308</c:v>
                </c:pt>
                <c:pt idx="3144">
                  <c:v>1.032</c:v>
                </c:pt>
                <c:pt idx="3145">
                  <c:v>0.713</c:v>
                </c:pt>
                <c:pt idx="3146">
                  <c:v>0.364</c:v>
                </c:pt>
                <c:pt idx="3147">
                  <c:v>#¡CAMPO!</c:v>
                </c:pt>
                <c:pt idx="3148">
                  <c:v>#¡CAMPO!</c:v>
                </c:pt>
                <c:pt idx="3149">
                  <c:v>#¡CAMPO!</c:v>
                </c:pt>
                <c:pt idx="3150">
                  <c:v>#¡CAMPO!</c:v>
                </c:pt>
                <c:pt idx="3151">
                  <c:v>#¡CAMPO!</c:v>
                </c:pt>
                <c:pt idx="3152">
                  <c:v>#¡CAMPO!</c:v>
                </c:pt>
                <c:pt idx="3153">
                  <c:v>#¡CAMPO!</c:v>
                </c:pt>
                <c:pt idx="3154">
                  <c:v>#¡CAMPO!</c:v>
                </c:pt>
                <c:pt idx="3155">
                  <c:v>#¡CAMPO!</c:v>
                </c:pt>
                <c:pt idx="3156">
                  <c:v>#¡CAMPO!</c:v>
                </c:pt>
                <c:pt idx="3157">
                  <c:v>#¡CAMPO!</c:v>
                </c:pt>
                <c:pt idx="3158">
                  <c:v>0.012</c:v>
                </c:pt>
                <c:pt idx="3159">
                  <c:v>0.229</c:v>
                </c:pt>
                <c:pt idx="3160">
                  <c:v>0.42</c:v>
                </c:pt>
                <c:pt idx="3161">
                  <c:v>0.491</c:v>
                </c:pt>
                <c:pt idx="3162">
                  <c:v>0.559</c:v>
                </c:pt>
                <c:pt idx="3163">
                  <c:v>0.575</c:v>
                </c:pt>
                <c:pt idx="3164">
                  <c:v>0.539</c:v>
                </c:pt>
                <c:pt idx="3165">
                  <c:v>0.42</c:v>
                </c:pt>
                <c:pt idx="3166">
                  <c:v>0.229</c:v>
                </c:pt>
                <c:pt idx="3167">
                  <c:v>0.117</c:v>
                </c:pt>
                <c:pt idx="3168">
                  <c:v>#¡CAMPO!</c:v>
                </c:pt>
                <c:pt idx="3169">
                  <c:v>#¡CAMPO!</c:v>
                </c:pt>
                <c:pt idx="3170">
                  <c:v>#¡CAMPO!</c:v>
                </c:pt>
                <c:pt idx="3171">
                  <c:v>#¡CAMPO!</c:v>
                </c:pt>
                <c:pt idx="3172">
                  <c:v>-1.089</c:v>
                </c:pt>
                <c:pt idx="3173">
                  <c:v>-1.304</c:v>
                </c:pt>
                <c:pt idx="3174">
                  <c:v>-1.464</c:v>
                </c:pt>
                <c:pt idx="3175">
                  <c:v>-1.563</c:v>
                </c:pt>
                <c:pt idx="3176">
                  <c:v>-1.596</c:v>
                </c:pt>
                <c:pt idx="3177">
                  <c:v>-1.563</c:v>
                </c:pt>
                <c:pt idx="3178">
                  <c:v>-1.464</c:v>
                </c:pt>
                <c:pt idx="3179">
                  <c:v>-1.304</c:v>
                </c:pt>
                <c:pt idx="3180">
                  <c:v>-1.089</c:v>
                </c:pt>
                <c:pt idx="3181">
                  <c:v>#¡CAMPO!</c:v>
                </c:pt>
                <c:pt idx="3182">
                  <c:v>#¡CAMPO!</c:v>
                </c:pt>
                <c:pt idx="3183">
                  <c:v>#¡CAMPO!</c:v>
                </c:pt>
                <c:pt idx="3184">
                  <c:v>0.044</c:v>
                </c:pt>
                <c:pt idx="3185">
                  <c:v>0.323</c:v>
                </c:pt>
                <c:pt idx="3186">
                  <c:v>0.636</c:v>
                </c:pt>
                <c:pt idx="3187">
                  <c:v>0.92</c:v>
                </c:pt>
                <c:pt idx="3188">
                  <c:v>1.166</c:v>
                </c:pt>
                <c:pt idx="3189">
                  <c:v>1.364</c:v>
                </c:pt>
                <c:pt idx="3190">
                  <c:v>1.507</c:v>
                </c:pt>
                <c:pt idx="3191">
                  <c:v>1.562</c:v>
                </c:pt>
                <c:pt idx="3192">
                  <c:v>1.596</c:v>
                </c:pt>
                <c:pt idx="3193">
                  <c:v>1.562</c:v>
                </c:pt>
                <c:pt idx="3194">
                  <c:v>1.488</c:v>
                </c:pt>
                <c:pt idx="3195">
                  <c:v>1.365</c:v>
                </c:pt>
                <c:pt idx="3196">
                  <c:v>1.166</c:v>
                </c:pt>
                <c:pt idx="3197">
                  <c:v>0.92</c:v>
                </c:pt>
                <c:pt idx="3198">
                  <c:v>0.636</c:v>
                </c:pt>
                <c:pt idx="3199">
                  <c:v>0.325</c:v>
                </c:pt>
                <c:pt idx="3200">
                  <c:v>0</c:v>
                </c:pt>
                <c:pt idx="3201">
                  <c:v>#¡CAMPO!</c:v>
                </c:pt>
                <c:pt idx="3202">
                  <c:v>#¡CAMPO!</c:v>
                </c:pt>
                <c:pt idx="3203">
                  <c:v>#¡CAMPO!</c:v>
                </c:pt>
                <c:pt idx="3204">
                  <c:v>#¡CAMPO!</c:v>
                </c:pt>
                <c:pt idx="3205">
                  <c:v>#¡CAMPO!</c:v>
                </c:pt>
                <c:pt idx="3206">
                  <c:v>#¡CAMPO!</c:v>
                </c:pt>
                <c:pt idx="3207">
                  <c:v>-1.021</c:v>
                </c:pt>
                <c:pt idx="3208">
                  <c:v>-1.136</c:v>
                </c:pt>
                <c:pt idx="3209">
                  <c:v>-1.254</c:v>
                </c:pt>
                <c:pt idx="3210">
                  <c:v>-1.319</c:v>
                </c:pt>
                <c:pt idx="3211">
                  <c:v>-1.328</c:v>
                </c:pt>
                <c:pt idx="3212">
                  <c:v>-1.287</c:v>
                </c:pt>
                <c:pt idx="3213">
                  <c:v>-1.223</c:v>
                </c:pt>
                <c:pt idx="3214">
                  <c:v>-1.088</c:v>
                </c:pt>
                <c:pt idx="3215">
                  <c:v>#¡CAMPO!</c:v>
                </c:pt>
                <c:pt idx="3216">
                  <c:v>#¡CAMPO!</c:v>
                </c:pt>
                <c:pt idx="3217">
                  <c:v>#¡CAMPO!</c:v>
                </c:pt>
                <c:pt idx="3218">
                  <c:v>#¡CAMPO!</c:v>
                </c:pt>
                <c:pt idx="3219">
                  <c:v>0.073</c:v>
                </c:pt>
                <c:pt idx="3220">
                  <c:v>0.266</c:v>
                </c:pt>
                <c:pt idx="3221">
                  <c:v>0.53</c:v>
                </c:pt>
                <c:pt idx="3222">
                  <c:v>0.768</c:v>
                </c:pt>
                <c:pt idx="3223">
                  <c:v>0.973</c:v>
                </c:pt>
                <c:pt idx="3224">
                  <c:v>1.138</c:v>
                </c:pt>
                <c:pt idx="3225">
                  <c:v>1.254</c:v>
                </c:pt>
                <c:pt idx="3226">
                  <c:v>1.319</c:v>
                </c:pt>
                <c:pt idx="3227">
                  <c:v>1.328</c:v>
                </c:pt>
                <c:pt idx="3228">
                  <c:v>1.282</c:v>
                </c:pt>
                <c:pt idx="3229">
                  <c:v>1.182</c:v>
                </c:pt>
                <c:pt idx="3230">
                  <c:v>1.032</c:v>
                </c:pt>
                <c:pt idx="3231">
                  <c:v>0.854</c:v>
                </c:pt>
                <c:pt idx="3232">
                  <c:v>0.696</c:v>
                </c:pt>
                <c:pt idx="3233">
                  <c:v>0.446</c:v>
                </c:pt>
                <c:pt idx="3234">
                  <c:v>0.181</c:v>
                </c:pt>
                <c:pt idx="3235">
                  <c:v>#¡CAMPO!</c:v>
                </c:pt>
                <c:pt idx="3236">
                  <c:v>#¡CAMPO!</c:v>
                </c:pt>
                <c:pt idx="3237">
                  <c:v>#¡CAMPO!</c:v>
                </c:pt>
                <c:pt idx="3238">
                  <c:v>#¡CAMPO!</c:v>
                </c:pt>
                <c:pt idx="3239">
                  <c:v>#¡CAMPO!</c:v>
                </c:pt>
                <c:pt idx="3240">
                  <c:v>#¡CAMPO!</c:v>
                </c:pt>
                <c:pt idx="3241">
                  <c:v>#¡CAMPO!</c:v>
                </c:pt>
                <c:pt idx="3242">
                  <c:v>#¡CAMPO!</c:v>
                </c:pt>
                <c:pt idx="3243">
                  <c:v>#¡CAMPO!</c:v>
                </c:pt>
                <c:pt idx="3244">
                  <c:v>#¡CAMPO!</c:v>
                </c:pt>
                <c:pt idx="3245">
                  <c:v>#¡CAMPO!</c:v>
                </c:pt>
                <c:pt idx="3246">
                  <c:v>#¡CAMPO!</c:v>
                </c:pt>
                <c:pt idx="3247">
                  <c:v>#¡CAMPO!</c:v>
                </c:pt>
                <c:pt idx="3248">
                  <c:v>#¡CAMPO!</c:v>
                </c:pt>
                <c:pt idx="3249">
                  <c:v>#¡CAMPO!</c:v>
                </c:pt>
                <c:pt idx="3250">
                  <c:v>#¡CAMPO!</c:v>
                </c:pt>
                <c:pt idx="3251">
                  <c:v>#¡CAMPO!</c:v>
                </c:pt>
                <c:pt idx="3252">
                  <c:v>#¡CAMPO!</c:v>
                </c:pt>
                <c:pt idx="3253">
                  <c:v>#¡CAMPO!</c:v>
                </c:pt>
                <c:pt idx="3254">
                  <c:v>0.04</c:v>
                </c:pt>
                <c:pt idx="3255">
                  <c:v>0.19</c:v>
                </c:pt>
                <c:pt idx="3256">
                  <c:v>0.379</c:v>
                </c:pt>
                <c:pt idx="3257">
                  <c:v>0.549</c:v>
                </c:pt>
                <c:pt idx="3258">
                  <c:v>0.696</c:v>
                </c:pt>
                <c:pt idx="3259">
                  <c:v>0.813</c:v>
                </c:pt>
                <c:pt idx="3260">
                  <c:v>0.897</c:v>
                </c:pt>
                <c:pt idx="3261">
                  <c:v>0.943</c:v>
                </c:pt>
                <c:pt idx="3262">
                  <c:v>0.95</c:v>
                </c:pt>
                <c:pt idx="3263">
                  <c:v>0.923</c:v>
                </c:pt>
                <c:pt idx="3264">
                  <c:v>0.875</c:v>
                </c:pt>
                <c:pt idx="3265">
                  <c:v>0.778</c:v>
                </c:pt>
                <c:pt idx="3266">
                  <c:v>0.65</c:v>
                </c:pt>
                <c:pt idx="3267">
                  <c:v>0.495</c:v>
                </c:pt>
                <c:pt idx="3268">
                  <c:v>0.319</c:v>
                </c:pt>
                <c:pt idx="3269">
                  <c:v>0.13</c:v>
                </c:pt>
                <c:pt idx="3270">
                  <c:v>#¡CAMPO!</c:v>
                </c:pt>
                <c:pt idx="3271">
                  <c:v>#¡CAMPO!</c:v>
                </c:pt>
                <c:pt idx="3272">
                  <c:v>#¡CAMPO!</c:v>
                </c:pt>
                <c:pt idx="3273">
                  <c:v>#¡CAMPO!</c:v>
                </c:pt>
                <c:pt idx="3274">
                  <c:v>#¡CAMPO!</c:v>
                </c:pt>
                <c:pt idx="3275">
                  <c:v>#¡CAMPO!</c:v>
                </c:pt>
                <c:pt idx="3276">
                  <c:v>#¡CAMPO!</c:v>
                </c:pt>
                <c:pt idx="3277">
                  <c:v>#¡CAMPO!</c:v>
                </c:pt>
                <c:pt idx="3278">
                  <c:v>#¡CAMPO!</c:v>
                </c:pt>
                <c:pt idx="3279">
                  <c:v>#¡CAMPO!</c:v>
                </c:pt>
                <c:pt idx="3280">
                  <c:v>0.15</c:v>
                </c:pt>
                <c:pt idx="3281">
                  <c:v>0.252</c:v>
                </c:pt>
                <c:pt idx="3282">
                  <c:v>0.293</c:v>
                </c:pt>
                <c:pt idx="3283">
                  <c:v>0.28</c:v>
                </c:pt>
                <c:pt idx="3284">
                  <c:v>0.178</c:v>
                </c:pt>
                <c:pt idx="3285">
                  <c:v>0.015</c:v>
                </c:pt>
                <c:pt idx="3286">
                  <c:v>#¡CAMPO!</c:v>
                </c:pt>
              </c:strCache>
            </c:strRef>
          </c:xVal>
          <c:yVal>
            <c:numRef>
              <c:f>Hoja3!$B:$B</c:f>
              <c:numCache>
                <c:formatCode>#,##0</c:formatCode>
                <c:ptCount val="1048576"/>
                <c:pt idx="0" formatCode="General">
                  <c:v>0</c:v>
                </c:pt>
                <c:pt idx="1">
                  <c:v>14124</c:v>
                </c:pt>
                <c:pt idx="2">
                  <c:v>14032</c:v>
                </c:pt>
                <c:pt idx="3">
                  <c:v>13598</c:v>
                </c:pt>
                <c:pt idx="4">
                  <c:v>12422</c:v>
                </c:pt>
                <c:pt idx="5">
                  <c:v>10645</c:v>
                </c:pt>
                <c:pt idx="6">
                  <c:v>7366</c:v>
                </c:pt>
                <c:pt idx="7">
                  <c:v>-3434</c:v>
                </c:pt>
                <c:pt idx="8">
                  <c:v>-7700</c:v>
                </c:pt>
                <c:pt idx="9">
                  <c:v>-9952</c:v>
                </c:pt>
                <c:pt idx="10">
                  <c:v>-11921</c:v>
                </c:pt>
                <c:pt idx="11">
                  <c:v>-13371</c:v>
                </c:pt>
                <c:pt idx="12">
                  <c:v>-14216</c:v>
                </c:pt>
                <c:pt idx="13">
                  <c:v>-14124</c:v>
                </c:pt>
                <c:pt idx="14">
                  <c:v>-14032</c:v>
                </c:pt>
                <c:pt idx="15">
                  <c:v>-13598</c:v>
                </c:pt>
                <c:pt idx="16">
                  <c:v>-12422</c:v>
                </c:pt>
                <c:pt idx="17">
                  <c:v>-10645</c:v>
                </c:pt>
                <c:pt idx="18">
                  <c:v>-7366</c:v>
                </c:pt>
                <c:pt idx="19">
                  <c:v>3434</c:v>
                </c:pt>
                <c:pt idx="20">
                  <c:v>7699</c:v>
                </c:pt>
                <c:pt idx="21">
                  <c:v>9952</c:v>
                </c:pt>
                <c:pt idx="22">
                  <c:v>11921</c:v>
                </c:pt>
                <c:pt idx="23">
                  <c:v>13371</c:v>
                </c:pt>
                <c:pt idx="24">
                  <c:v>14216</c:v>
                </c:pt>
                <c:pt idx="25">
                  <c:v>14125</c:v>
                </c:pt>
                <c:pt idx="26">
                  <c:v>5394</c:v>
                </c:pt>
                <c:pt idx="27">
                  <c:v>1906</c:v>
                </c:pt>
                <c:pt idx="28">
                  <c:v>-2050</c:v>
                </c:pt>
                <c:pt idx="29">
                  <c:v>-5554</c:v>
                </c:pt>
                <c:pt idx="30">
                  <c:v>-5475</c:v>
                </c:pt>
                <c:pt idx="31">
                  <c:v>-5475</c:v>
                </c:pt>
                <c:pt idx="32">
                  <c:v>-5394</c:v>
                </c:pt>
                <c:pt idx="33">
                  <c:v>-1906</c:v>
                </c:pt>
                <c:pt idx="34">
                  <c:v>2050</c:v>
                </c:pt>
                <c:pt idx="35">
                  <c:v>5554</c:v>
                </c:pt>
                <c:pt idx="36">
                  <c:v>5475</c:v>
                </c:pt>
                <c:pt idx="37">
                  <c:v>5475</c:v>
                </c:pt>
                <c:pt idx="38">
                  <c:v>5396</c:v>
                </c:pt>
                <c:pt idx="39">
                  <c:v>4779</c:v>
                </c:pt>
                <c:pt idx="40">
                  <c:v>1911</c:v>
                </c:pt>
                <c:pt idx="41">
                  <c:v>-2045</c:v>
                </c:pt>
                <c:pt idx="42">
                  <c:v>-4919</c:v>
                </c:pt>
                <c:pt idx="43">
                  <c:v>-4850</c:v>
                </c:pt>
                <c:pt idx="44">
                  <c:v>-4850</c:v>
                </c:pt>
                <c:pt idx="45">
                  <c:v>-4779</c:v>
                </c:pt>
                <c:pt idx="46">
                  <c:v>-1911</c:v>
                </c:pt>
                <c:pt idx="47">
                  <c:v>2045</c:v>
                </c:pt>
                <c:pt idx="48">
                  <c:v>4919</c:v>
                </c:pt>
                <c:pt idx="49">
                  <c:v>4850</c:v>
                </c:pt>
                <c:pt idx="50">
                  <c:v>4850</c:v>
                </c:pt>
                <c:pt idx="51">
                  <c:v>4781</c:v>
                </c:pt>
                <c:pt idx="52">
                  <c:v>4769</c:v>
                </c:pt>
                <c:pt idx="53">
                  <c:v>6449</c:v>
                </c:pt>
                <c:pt idx="54">
                  <c:v>3216</c:v>
                </c:pt>
                <c:pt idx="55">
                  <c:v>-3384</c:v>
                </c:pt>
                <c:pt idx="56">
                  <c:v>-6600</c:v>
                </c:pt>
                <c:pt idx="57">
                  <c:v>-6525</c:v>
                </c:pt>
                <c:pt idx="58">
                  <c:v>-6525</c:v>
                </c:pt>
                <c:pt idx="59">
                  <c:v>-6449</c:v>
                </c:pt>
                <c:pt idx="60">
                  <c:v>-3216</c:v>
                </c:pt>
                <c:pt idx="61">
                  <c:v>3384</c:v>
                </c:pt>
                <c:pt idx="62">
                  <c:v>6600</c:v>
                </c:pt>
                <c:pt idx="63">
                  <c:v>6525</c:v>
                </c:pt>
                <c:pt idx="64">
                  <c:v>6525</c:v>
                </c:pt>
                <c:pt idx="65">
                  <c:v>6451</c:v>
                </c:pt>
                <c:pt idx="66">
                  <c:v>7064</c:v>
                </c:pt>
                <c:pt idx="67">
                  <c:v>3211</c:v>
                </c:pt>
                <c:pt idx="68">
                  <c:v>-3389</c:v>
                </c:pt>
                <c:pt idx="69">
                  <c:v>-7235</c:v>
                </c:pt>
                <c:pt idx="70">
                  <c:v>-7149</c:v>
                </c:pt>
                <c:pt idx="71">
                  <c:v>-7149</c:v>
                </c:pt>
                <c:pt idx="72">
                  <c:v>-7064</c:v>
                </c:pt>
                <c:pt idx="73">
                  <c:v>-3211</c:v>
                </c:pt>
                <c:pt idx="74">
                  <c:v>3389</c:v>
                </c:pt>
                <c:pt idx="75">
                  <c:v>7235</c:v>
                </c:pt>
                <c:pt idx="76">
                  <c:v>7149</c:v>
                </c:pt>
                <c:pt idx="77">
                  <c:v>7149</c:v>
                </c:pt>
                <c:pt idx="78">
                  <c:v>7066</c:v>
                </c:pt>
                <c:pt idx="79">
                  <c:v>6376</c:v>
                </c:pt>
                <c:pt idx="80">
                  <c:v>5698</c:v>
                </c:pt>
                <c:pt idx="81">
                  <c:v>1901</c:v>
                </c:pt>
                <c:pt idx="82">
                  <c:v>-3379</c:v>
                </c:pt>
                <c:pt idx="83">
                  <c:v>-5876</c:v>
                </c:pt>
                <c:pt idx="84">
                  <c:v>-6028</c:v>
                </c:pt>
                <c:pt idx="85">
                  <c:v>-6074</c:v>
                </c:pt>
                <c:pt idx="86">
                  <c:v>-6000</c:v>
                </c:pt>
                <c:pt idx="87">
                  <c:v>-6000</c:v>
                </c:pt>
                <c:pt idx="88">
                  <c:v>-5925</c:v>
                </c:pt>
                <c:pt idx="89">
                  <c:v>-5896</c:v>
                </c:pt>
                <c:pt idx="90">
                  <c:v>-5698</c:v>
                </c:pt>
                <c:pt idx="91">
                  <c:v>-1901</c:v>
                </c:pt>
                <c:pt idx="92">
                  <c:v>2056</c:v>
                </c:pt>
                <c:pt idx="93">
                  <c:v>5875</c:v>
                </c:pt>
                <c:pt idx="94">
                  <c:v>6029</c:v>
                </c:pt>
                <c:pt idx="95">
                  <c:v>6074</c:v>
                </c:pt>
                <c:pt idx="96">
                  <c:v>6000</c:v>
                </c:pt>
                <c:pt idx="97">
                  <c:v>5989</c:v>
                </c:pt>
                <c:pt idx="98">
                  <c:v>5925</c:v>
                </c:pt>
                <c:pt idx="99">
                  <c:v>5896</c:v>
                </c:pt>
                <c:pt idx="100">
                  <c:v>5815</c:v>
                </c:pt>
                <c:pt idx="101">
                  <c:v>5815</c:v>
                </c:pt>
                <c:pt idx="102">
                  <c:v>5228</c:v>
                </c:pt>
                <c:pt idx="103">
                  <c:v>-4593</c:v>
                </c:pt>
                <c:pt idx="104">
                  <c:v>-5859</c:v>
                </c:pt>
                <c:pt idx="105">
                  <c:v>-5228</c:v>
                </c:pt>
                <c:pt idx="106">
                  <c:v>5860</c:v>
                </c:pt>
                <c:pt idx="107">
                  <c:v>5232</c:v>
                </c:pt>
                <c:pt idx="108">
                  <c:v>4605</c:v>
                </c:pt>
                <c:pt idx="109">
                  <c:v>-5186</c:v>
                </c:pt>
                <c:pt idx="110">
                  <c:v>-4605</c:v>
                </c:pt>
                <c:pt idx="111">
                  <c:v>5186</c:v>
                </c:pt>
                <c:pt idx="112">
                  <c:v>4610</c:v>
                </c:pt>
                <c:pt idx="113">
                  <c:v>4730</c:v>
                </c:pt>
                <c:pt idx="114">
                  <c:v>6095</c:v>
                </c:pt>
                <c:pt idx="115">
                  <c:v>-6800</c:v>
                </c:pt>
                <c:pt idx="116">
                  <c:v>-6095</c:v>
                </c:pt>
                <c:pt idx="117">
                  <c:v>6798</c:v>
                </c:pt>
                <c:pt idx="118">
                  <c:v>6100</c:v>
                </c:pt>
                <c:pt idx="119">
                  <c:v>6717</c:v>
                </c:pt>
                <c:pt idx="120">
                  <c:v>-7474</c:v>
                </c:pt>
                <c:pt idx="121">
                  <c:v>-6717</c:v>
                </c:pt>
                <c:pt idx="122">
                  <c:v>7471</c:v>
                </c:pt>
                <c:pt idx="123">
                  <c:v>6722</c:v>
                </c:pt>
                <c:pt idx="124">
                  <c:v>5966</c:v>
                </c:pt>
                <c:pt idx="125">
                  <c:v>5544</c:v>
                </c:pt>
                <c:pt idx="126">
                  <c:v>-4612</c:v>
                </c:pt>
                <c:pt idx="127">
                  <c:v>-6212</c:v>
                </c:pt>
                <c:pt idx="128">
                  <c:v>-6304</c:v>
                </c:pt>
                <c:pt idx="129">
                  <c:v>-6325</c:v>
                </c:pt>
                <c:pt idx="130">
                  <c:v>-5666</c:v>
                </c:pt>
                <c:pt idx="131">
                  <c:v>-5642</c:v>
                </c:pt>
                <c:pt idx="132">
                  <c:v>-5544</c:v>
                </c:pt>
                <c:pt idx="133">
                  <c:v>6211</c:v>
                </c:pt>
                <c:pt idx="134">
                  <c:v>6308</c:v>
                </c:pt>
                <c:pt idx="135">
                  <c:v>6324</c:v>
                </c:pt>
                <c:pt idx="136">
                  <c:v>5666</c:v>
                </c:pt>
                <c:pt idx="137">
                  <c:v>5647</c:v>
                </c:pt>
                <c:pt idx="138">
                  <c:v>5647</c:v>
                </c:pt>
                <c:pt idx="139">
                  <c:v>4877</c:v>
                </c:pt>
                <c:pt idx="140">
                  <c:v>-6182</c:v>
                </c:pt>
                <c:pt idx="141">
                  <c:v>-4877</c:v>
                </c:pt>
                <c:pt idx="142">
                  <c:v>6182</c:v>
                </c:pt>
                <c:pt idx="143">
                  <c:v>4887</c:v>
                </c:pt>
                <c:pt idx="144">
                  <c:v>4283</c:v>
                </c:pt>
                <c:pt idx="145">
                  <c:v>-5483</c:v>
                </c:pt>
                <c:pt idx="146">
                  <c:v>-4283</c:v>
                </c:pt>
                <c:pt idx="147">
                  <c:v>5483</c:v>
                </c:pt>
                <c:pt idx="148">
                  <c:v>4293</c:v>
                </c:pt>
                <c:pt idx="149">
                  <c:v>4374</c:v>
                </c:pt>
                <c:pt idx="150">
                  <c:v>5705</c:v>
                </c:pt>
                <c:pt idx="151">
                  <c:v>-7156</c:v>
                </c:pt>
                <c:pt idx="152">
                  <c:v>-5705</c:v>
                </c:pt>
                <c:pt idx="153">
                  <c:v>7156</c:v>
                </c:pt>
                <c:pt idx="154">
                  <c:v>5714</c:v>
                </c:pt>
                <c:pt idx="155">
                  <c:v>6298</c:v>
                </c:pt>
                <c:pt idx="156">
                  <c:v>-7855</c:v>
                </c:pt>
                <c:pt idx="157">
                  <c:v>-6298</c:v>
                </c:pt>
                <c:pt idx="158">
                  <c:v>7855</c:v>
                </c:pt>
                <c:pt idx="159">
                  <c:v>6308</c:v>
                </c:pt>
                <c:pt idx="160">
                  <c:v>5559</c:v>
                </c:pt>
                <c:pt idx="161">
                  <c:v>5173</c:v>
                </c:pt>
                <c:pt idx="162">
                  <c:v>-6552</c:v>
                </c:pt>
                <c:pt idx="163">
                  <c:v>-6646</c:v>
                </c:pt>
                <c:pt idx="164">
                  <c:v>-6659</c:v>
                </c:pt>
                <c:pt idx="165">
                  <c:v>-5300</c:v>
                </c:pt>
                <c:pt idx="166">
                  <c:v>-5272</c:v>
                </c:pt>
                <c:pt idx="167">
                  <c:v>-5173</c:v>
                </c:pt>
                <c:pt idx="168">
                  <c:v>6552</c:v>
                </c:pt>
                <c:pt idx="169">
                  <c:v>6647</c:v>
                </c:pt>
                <c:pt idx="170">
                  <c:v>6659</c:v>
                </c:pt>
                <c:pt idx="171">
                  <c:v>5300</c:v>
                </c:pt>
                <c:pt idx="172">
                  <c:v>5278</c:v>
                </c:pt>
                <c:pt idx="173">
                  <c:v>5278</c:v>
                </c:pt>
                <c:pt idx="174">
                  <c:v>4518</c:v>
                </c:pt>
                <c:pt idx="175">
                  <c:v>-6495</c:v>
                </c:pt>
                <c:pt idx="176">
                  <c:v>-4518</c:v>
                </c:pt>
                <c:pt idx="177">
                  <c:v>6494</c:v>
                </c:pt>
                <c:pt idx="178">
                  <c:v>4533</c:v>
                </c:pt>
                <c:pt idx="179">
                  <c:v>3954</c:v>
                </c:pt>
                <c:pt idx="180">
                  <c:v>-5771</c:v>
                </c:pt>
                <c:pt idx="181">
                  <c:v>-3954</c:v>
                </c:pt>
                <c:pt idx="182">
                  <c:v>5771</c:v>
                </c:pt>
                <c:pt idx="183">
                  <c:v>3969</c:v>
                </c:pt>
                <c:pt idx="184">
                  <c:v>4012</c:v>
                </c:pt>
                <c:pt idx="185">
                  <c:v>5304</c:v>
                </c:pt>
                <c:pt idx="186">
                  <c:v>-7499</c:v>
                </c:pt>
                <c:pt idx="187">
                  <c:v>-5304</c:v>
                </c:pt>
                <c:pt idx="188">
                  <c:v>7501</c:v>
                </c:pt>
                <c:pt idx="189">
                  <c:v>5319</c:v>
                </c:pt>
                <c:pt idx="190">
                  <c:v>5868</c:v>
                </c:pt>
                <c:pt idx="191">
                  <c:v>-8222</c:v>
                </c:pt>
                <c:pt idx="192">
                  <c:v>-5868</c:v>
                </c:pt>
                <c:pt idx="193">
                  <c:v>8224</c:v>
                </c:pt>
                <c:pt idx="194">
                  <c:v>5883</c:v>
                </c:pt>
                <c:pt idx="195">
                  <c:v>5142</c:v>
                </c:pt>
                <c:pt idx="196">
                  <c:v>4794</c:v>
                </c:pt>
                <c:pt idx="197">
                  <c:v>-6881</c:v>
                </c:pt>
                <c:pt idx="198">
                  <c:v>-6976</c:v>
                </c:pt>
                <c:pt idx="199">
                  <c:v>-6983</c:v>
                </c:pt>
                <c:pt idx="200">
                  <c:v>-4925</c:v>
                </c:pt>
                <c:pt idx="201">
                  <c:v>-4893</c:v>
                </c:pt>
                <c:pt idx="202">
                  <c:v>-4794</c:v>
                </c:pt>
                <c:pt idx="203">
                  <c:v>6881</c:v>
                </c:pt>
                <c:pt idx="204">
                  <c:v>6975</c:v>
                </c:pt>
                <c:pt idx="205">
                  <c:v>6983</c:v>
                </c:pt>
                <c:pt idx="206">
                  <c:v>4926</c:v>
                </c:pt>
                <c:pt idx="207">
                  <c:v>4900</c:v>
                </c:pt>
                <c:pt idx="208">
                  <c:v>4900</c:v>
                </c:pt>
                <c:pt idx="209">
                  <c:v>4152</c:v>
                </c:pt>
                <c:pt idx="210">
                  <c:v>-6794</c:v>
                </c:pt>
                <c:pt idx="211">
                  <c:v>-4152</c:v>
                </c:pt>
                <c:pt idx="212">
                  <c:v>6794</c:v>
                </c:pt>
                <c:pt idx="213">
                  <c:v>4171</c:v>
                </c:pt>
                <c:pt idx="214">
                  <c:v>3619</c:v>
                </c:pt>
                <c:pt idx="215">
                  <c:v>-6048</c:v>
                </c:pt>
                <c:pt idx="216">
                  <c:v>-3619</c:v>
                </c:pt>
                <c:pt idx="217">
                  <c:v>6048</c:v>
                </c:pt>
                <c:pt idx="218">
                  <c:v>3638</c:v>
                </c:pt>
                <c:pt idx="219">
                  <c:v>3643</c:v>
                </c:pt>
                <c:pt idx="220">
                  <c:v>4894</c:v>
                </c:pt>
                <c:pt idx="221">
                  <c:v>-7833</c:v>
                </c:pt>
                <c:pt idx="222">
                  <c:v>-4894</c:v>
                </c:pt>
                <c:pt idx="223">
                  <c:v>7834</c:v>
                </c:pt>
                <c:pt idx="224">
                  <c:v>4914</c:v>
                </c:pt>
                <c:pt idx="225">
                  <c:v>5427</c:v>
                </c:pt>
                <c:pt idx="226">
                  <c:v>-8579</c:v>
                </c:pt>
                <c:pt idx="227">
                  <c:v>-5427</c:v>
                </c:pt>
                <c:pt idx="228">
                  <c:v>8580</c:v>
                </c:pt>
                <c:pt idx="229">
                  <c:v>5447</c:v>
                </c:pt>
                <c:pt idx="230">
                  <c:v>4716</c:v>
                </c:pt>
                <c:pt idx="231">
                  <c:v>4407</c:v>
                </c:pt>
                <c:pt idx="232">
                  <c:v>-7198</c:v>
                </c:pt>
                <c:pt idx="233">
                  <c:v>-7291</c:v>
                </c:pt>
                <c:pt idx="234">
                  <c:v>-7294</c:v>
                </c:pt>
                <c:pt idx="235">
                  <c:v>-4542</c:v>
                </c:pt>
                <c:pt idx="236">
                  <c:v>-4506</c:v>
                </c:pt>
                <c:pt idx="237">
                  <c:v>-4407</c:v>
                </c:pt>
                <c:pt idx="238">
                  <c:v>7198</c:v>
                </c:pt>
                <c:pt idx="239">
                  <c:v>7291</c:v>
                </c:pt>
                <c:pt idx="240">
                  <c:v>7295</c:v>
                </c:pt>
                <c:pt idx="241">
                  <c:v>4542</c:v>
                </c:pt>
                <c:pt idx="242">
                  <c:v>4514</c:v>
                </c:pt>
                <c:pt idx="243">
                  <c:v>4514</c:v>
                </c:pt>
                <c:pt idx="244">
                  <c:v>3777</c:v>
                </c:pt>
                <c:pt idx="245">
                  <c:v>-7081</c:v>
                </c:pt>
                <c:pt idx="246">
                  <c:v>-3777</c:v>
                </c:pt>
                <c:pt idx="247">
                  <c:v>7082</c:v>
                </c:pt>
                <c:pt idx="248">
                  <c:v>3802</c:v>
                </c:pt>
                <c:pt idx="249">
                  <c:v>3276</c:v>
                </c:pt>
                <c:pt idx="250">
                  <c:v>-6314</c:v>
                </c:pt>
                <c:pt idx="251">
                  <c:v>-3276</c:v>
                </c:pt>
                <c:pt idx="252">
                  <c:v>6314</c:v>
                </c:pt>
                <c:pt idx="253">
                  <c:v>3300</c:v>
                </c:pt>
                <c:pt idx="254">
                  <c:v>3266</c:v>
                </c:pt>
                <c:pt idx="255">
                  <c:v>4476</c:v>
                </c:pt>
                <c:pt idx="256">
                  <c:v>-8153</c:v>
                </c:pt>
                <c:pt idx="257">
                  <c:v>-4476</c:v>
                </c:pt>
                <c:pt idx="258">
                  <c:v>8152</c:v>
                </c:pt>
                <c:pt idx="259">
                  <c:v>4500</c:v>
                </c:pt>
                <c:pt idx="260">
                  <c:v>4977</c:v>
                </c:pt>
                <c:pt idx="261">
                  <c:v>-8921</c:v>
                </c:pt>
                <c:pt idx="262">
                  <c:v>-4977</c:v>
                </c:pt>
                <c:pt idx="263">
                  <c:v>8920</c:v>
                </c:pt>
                <c:pt idx="264">
                  <c:v>5002</c:v>
                </c:pt>
                <c:pt idx="265">
                  <c:v>4282</c:v>
                </c:pt>
                <c:pt idx="266">
                  <c:v>4011</c:v>
                </c:pt>
                <c:pt idx="267">
                  <c:v>-5801</c:v>
                </c:pt>
                <c:pt idx="268">
                  <c:v>-7502</c:v>
                </c:pt>
                <c:pt idx="269">
                  <c:v>-7590</c:v>
                </c:pt>
                <c:pt idx="270">
                  <c:v>-7591</c:v>
                </c:pt>
                <c:pt idx="271">
                  <c:v>-4151</c:v>
                </c:pt>
                <c:pt idx="272">
                  <c:v>-4111</c:v>
                </c:pt>
                <c:pt idx="273">
                  <c:v>-4011</c:v>
                </c:pt>
                <c:pt idx="274">
                  <c:v>7502</c:v>
                </c:pt>
                <c:pt idx="275">
                  <c:v>7593</c:v>
                </c:pt>
                <c:pt idx="276">
                  <c:v>7593</c:v>
                </c:pt>
                <c:pt idx="277">
                  <c:v>4151</c:v>
                </c:pt>
                <c:pt idx="278">
                  <c:v>4119</c:v>
                </c:pt>
                <c:pt idx="279">
                  <c:v>4119</c:v>
                </c:pt>
                <c:pt idx="280">
                  <c:v>3396</c:v>
                </c:pt>
                <c:pt idx="281">
                  <c:v>-7358</c:v>
                </c:pt>
                <c:pt idx="282">
                  <c:v>-3396</c:v>
                </c:pt>
                <c:pt idx="283">
                  <c:v>7358</c:v>
                </c:pt>
                <c:pt idx="284">
                  <c:v>3426</c:v>
                </c:pt>
                <c:pt idx="285">
                  <c:v>2927</c:v>
                </c:pt>
                <c:pt idx="286">
                  <c:v>-6570</c:v>
                </c:pt>
                <c:pt idx="287">
                  <c:v>-2927</c:v>
                </c:pt>
                <c:pt idx="288">
                  <c:v>6570</c:v>
                </c:pt>
                <c:pt idx="289">
                  <c:v>2957</c:v>
                </c:pt>
                <c:pt idx="290">
                  <c:v>2884</c:v>
                </c:pt>
                <c:pt idx="291">
                  <c:v>4050</c:v>
                </c:pt>
                <c:pt idx="292">
                  <c:v>-8455</c:v>
                </c:pt>
                <c:pt idx="293">
                  <c:v>-4050</c:v>
                </c:pt>
                <c:pt idx="294">
                  <c:v>8456</c:v>
                </c:pt>
                <c:pt idx="295">
                  <c:v>4079</c:v>
                </c:pt>
                <c:pt idx="296">
                  <c:v>4518</c:v>
                </c:pt>
                <c:pt idx="297">
                  <c:v>-9243</c:v>
                </c:pt>
                <c:pt idx="298">
                  <c:v>-4518</c:v>
                </c:pt>
                <c:pt idx="299">
                  <c:v>9244</c:v>
                </c:pt>
                <c:pt idx="300">
                  <c:v>4548</c:v>
                </c:pt>
                <c:pt idx="301">
                  <c:v>3841</c:v>
                </c:pt>
                <c:pt idx="302">
                  <c:v>3609</c:v>
                </c:pt>
                <c:pt idx="303">
                  <c:v>-7793</c:v>
                </c:pt>
                <c:pt idx="304">
                  <c:v>-7883</c:v>
                </c:pt>
                <c:pt idx="305">
                  <c:v>-7878</c:v>
                </c:pt>
                <c:pt idx="306">
                  <c:v>-3752</c:v>
                </c:pt>
                <c:pt idx="307">
                  <c:v>-3708</c:v>
                </c:pt>
                <c:pt idx="308">
                  <c:v>-3609</c:v>
                </c:pt>
                <c:pt idx="309">
                  <c:v>7793</c:v>
                </c:pt>
                <c:pt idx="310">
                  <c:v>7883</c:v>
                </c:pt>
                <c:pt idx="311">
                  <c:v>7878</c:v>
                </c:pt>
                <c:pt idx="312">
                  <c:v>3752</c:v>
                </c:pt>
                <c:pt idx="313">
                  <c:v>3717</c:v>
                </c:pt>
                <c:pt idx="314" formatCode="General">
                  <c:v>0.32800000000000001</c:v>
                </c:pt>
                <c:pt idx="315" formatCode="General">
                  <c:v>0.98199999999999998</c:v>
                </c:pt>
                <c:pt idx="316">
                  <c:v>1631</c:v>
                </c:pt>
                <c:pt idx="317">
                  <c:v>2273</c:v>
                </c:pt>
                <c:pt idx="318">
                  <c:v>2907</c:v>
                </c:pt>
                <c:pt idx="319">
                  <c:v>3243</c:v>
                </c:pt>
                <c:pt idx="320">
                  <c:v>3824</c:v>
                </c:pt>
                <c:pt idx="321">
                  <c:v>4413</c:v>
                </c:pt>
                <c:pt idx="322">
                  <c:v>5265</c:v>
                </c:pt>
                <c:pt idx="323">
                  <c:v>6058</c:v>
                </c:pt>
                <c:pt idx="324">
                  <c:v>6788</c:v>
                </c:pt>
                <c:pt idx="325">
                  <c:v>7446</c:v>
                </c:pt>
                <c:pt idx="326">
                  <c:v>8027</c:v>
                </c:pt>
                <c:pt idx="327">
                  <c:v>8523</c:v>
                </c:pt>
                <c:pt idx="328">
                  <c:v>8930</c:v>
                </c:pt>
                <c:pt idx="329">
                  <c:v>9244</c:v>
                </c:pt>
                <c:pt idx="330">
                  <c:v>9461</c:v>
                </c:pt>
                <c:pt idx="331">
                  <c:v>9549</c:v>
                </c:pt>
                <c:pt idx="332">
                  <c:v>9594</c:v>
                </c:pt>
                <c:pt idx="333">
                  <c:v>9600</c:v>
                </c:pt>
                <c:pt idx="334">
                  <c:v>8906</c:v>
                </c:pt>
                <c:pt idx="335">
                  <c:v>6495</c:v>
                </c:pt>
                <c:pt idx="336">
                  <c:v>5487</c:v>
                </c:pt>
                <c:pt idx="337">
                  <c:v>3628</c:v>
                </c:pt>
                <c:pt idx="338">
                  <c:v>6494</c:v>
                </c:pt>
                <c:pt idx="339">
                  <c:v>6493</c:v>
                </c:pt>
                <c:pt idx="340">
                  <c:v>1768</c:v>
                </c:pt>
                <c:pt idx="341" formatCode="General">
                  <c:v>9.0999999999999998E-2</c:v>
                </c:pt>
                <c:pt idx="342">
                  <c:v>6492</c:v>
                </c:pt>
                <c:pt idx="343">
                  <c:v>6491</c:v>
                </c:pt>
                <c:pt idx="344">
                  <c:v>6463</c:v>
                </c:pt>
                <c:pt idx="345">
                  <c:v>6412</c:v>
                </c:pt>
                <c:pt idx="346">
                  <c:v>6343</c:v>
                </c:pt>
                <c:pt idx="347">
                  <c:v>-1950</c:v>
                </c:pt>
                <c:pt idx="348">
                  <c:v>-3809</c:v>
                </c:pt>
                <c:pt idx="349">
                  <c:v>5860</c:v>
                </c:pt>
                <c:pt idx="350">
                  <c:v>5511</c:v>
                </c:pt>
                <c:pt idx="351">
                  <c:v>5131</c:v>
                </c:pt>
                <c:pt idx="352">
                  <c:v>-5668</c:v>
                </c:pt>
                <c:pt idx="353">
                  <c:v>-6497</c:v>
                </c:pt>
                <c:pt idx="354">
                  <c:v>-6497</c:v>
                </c:pt>
                <c:pt idx="355">
                  <c:v>4188</c:v>
                </c:pt>
                <c:pt idx="356">
                  <c:v>3788</c:v>
                </c:pt>
                <c:pt idx="357">
                  <c:v>3229</c:v>
                </c:pt>
                <c:pt idx="358">
                  <c:v>3039</c:v>
                </c:pt>
                <c:pt idx="359">
                  <c:v>-6497</c:v>
                </c:pt>
                <c:pt idx="360">
                  <c:v>-6497</c:v>
                </c:pt>
                <c:pt idx="361">
                  <c:v>1635</c:v>
                </c:pt>
                <c:pt idx="362">
                  <c:v>1117</c:v>
                </c:pt>
                <c:pt idx="363" formatCode="General">
                  <c:v>0.70799999999999996</c:v>
                </c:pt>
                <c:pt idx="364" formatCode="General">
                  <c:v>0.29899999999999999</c:v>
                </c:pt>
                <c:pt idx="365" formatCode="General">
                  <c:v>0.15</c:v>
                </c:pt>
                <c:pt idx="366">
                  <c:v>-6455</c:v>
                </c:pt>
                <c:pt idx="367">
                  <c:v>-6369</c:v>
                </c:pt>
                <c:pt idx="368">
                  <c:v>-6273</c:v>
                </c:pt>
                <c:pt idx="369">
                  <c:v>-6149</c:v>
                </c:pt>
                <c:pt idx="370">
                  <c:v>-6011</c:v>
                </c:pt>
                <c:pt idx="371">
                  <c:v>-5723</c:v>
                </c:pt>
                <c:pt idx="372">
                  <c:v>-5378</c:v>
                </c:pt>
                <c:pt idx="373">
                  <c:v>-5151</c:v>
                </c:pt>
                <c:pt idx="374">
                  <c:v>-4883</c:v>
                </c:pt>
                <c:pt idx="375">
                  <c:v>-3584</c:v>
                </c:pt>
                <c:pt idx="376">
                  <c:v>-3584</c:v>
                </c:pt>
                <c:pt idx="377">
                  <c:v>7287</c:v>
                </c:pt>
                <c:pt idx="378">
                  <c:v>-7289</c:v>
                </c:pt>
                <c:pt idx="379">
                  <c:v>-7288</c:v>
                </c:pt>
                <c:pt idx="380">
                  <c:v>-7270</c:v>
                </c:pt>
                <c:pt idx="381">
                  <c:v>-7219</c:v>
                </c:pt>
                <c:pt idx="382">
                  <c:v>-7135</c:v>
                </c:pt>
                <c:pt idx="383">
                  <c:v>-7017</c:v>
                </c:pt>
                <c:pt idx="384">
                  <c:v>-6866</c:v>
                </c:pt>
                <c:pt idx="385">
                  <c:v>-6692</c:v>
                </c:pt>
                <c:pt idx="386">
                  <c:v>-6350</c:v>
                </c:pt>
                <c:pt idx="387">
                  <c:v>-5939</c:v>
                </c:pt>
                <c:pt idx="388">
                  <c:v>-5653</c:v>
                </c:pt>
                <c:pt idx="389">
                  <c:v>-5326</c:v>
                </c:pt>
                <c:pt idx="390">
                  <c:v>-4974</c:v>
                </c:pt>
                <c:pt idx="391">
                  <c:v>-4599</c:v>
                </c:pt>
                <c:pt idx="392">
                  <c:v>-4202</c:v>
                </c:pt>
                <c:pt idx="393">
                  <c:v>-3786</c:v>
                </c:pt>
                <c:pt idx="394">
                  <c:v>-3353</c:v>
                </c:pt>
                <c:pt idx="395">
                  <c:v>-2924</c:v>
                </c:pt>
                <c:pt idx="396">
                  <c:v>-2182</c:v>
                </c:pt>
                <c:pt idx="397">
                  <c:v>-1725</c:v>
                </c:pt>
                <c:pt idx="398">
                  <c:v>-1238</c:v>
                </c:pt>
                <c:pt idx="399" formatCode="General">
                  <c:v>0.745</c:v>
                </c:pt>
                <c:pt idx="400" formatCode="General">
                  <c:v>0.249</c:v>
                </c:pt>
                <c:pt idx="401" formatCode="General">
                  <c:v>0.249</c:v>
                </c:pt>
                <c:pt idx="402" formatCode="General">
                  <c:v>0.745</c:v>
                </c:pt>
                <c:pt idx="403">
                  <c:v>1238</c:v>
                </c:pt>
                <c:pt idx="404">
                  <c:v>1703</c:v>
                </c:pt>
                <c:pt idx="405">
                  <c:v>2462</c:v>
                </c:pt>
                <c:pt idx="406">
                  <c:v>2903</c:v>
                </c:pt>
                <c:pt idx="407">
                  <c:v>3332</c:v>
                </c:pt>
                <c:pt idx="408">
                  <c:v>3996</c:v>
                </c:pt>
                <c:pt idx="409">
                  <c:v>4598</c:v>
                </c:pt>
                <c:pt idx="410">
                  <c:v>5151</c:v>
                </c:pt>
                <c:pt idx="411">
                  <c:v>5651</c:v>
                </c:pt>
                <c:pt idx="412">
                  <c:v>6092</c:v>
                </c:pt>
                <c:pt idx="413">
                  <c:v>6468</c:v>
                </c:pt>
                <c:pt idx="414">
                  <c:v>6777</c:v>
                </c:pt>
                <c:pt idx="415">
                  <c:v>7015</c:v>
                </c:pt>
                <c:pt idx="416">
                  <c:v>7184</c:v>
                </c:pt>
                <c:pt idx="417">
                  <c:v>7249</c:v>
                </c:pt>
                <c:pt idx="418">
                  <c:v>7283</c:v>
                </c:pt>
                <c:pt idx="419">
                  <c:v>7287</c:v>
                </c:pt>
                <c:pt idx="420">
                  <c:v>8584</c:v>
                </c:pt>
                <c:pt idx="421">
                  <c:v>-8584</c:v>
                </c:pt>
                <c:pt idx="422">
                  <c:v>-8583</c:v>
                </c:pt>
                <c:pt idx="423">
                  <c:v>-8564</c:v>
                </c:pt>
                <c:pt idx="424">
                  <c:v>-8504</c:v>
                </c:pt>
                <c:pt idx="425">
                  <c:v>-8404</c:v>
                </c:pt>
                <c:pt idx="426">
                  <c:v>-8265</c:v>
                </c:pt>
                <c:pt idx="427">
                  <c:v>-8088</c:v>
                </c:pt>
                <c:pt idx="428">
                  <c:v>-7877</c:v>
                </c:pt>
                <c:pt idx="429">
                  <c:v>-7481</c:v>
                </c:pt>
                <c:pt idx="430">
                  <c:v>-7005</c:v>
                </c:pt>
                <c:pt idx="431">
                  <c:v>-6658</c:v>
                </c:pt>
                <c:pt idx="432">
                  <c:v>-6273</c:v>
                </c:pt>
                <c:pt idx="433">
                  <c:v>-5859</c:v>
                </c:pt>
                <c:pt idx="434">
                  <c:v>-5417</c:v>
                </c:pt>
                <c:pt idx="435">
                  <c:v>-4950</c:v>
                </c:pt>
                <c:pt idx="436">
                  <c:v>-4460</c:v>
                </c:pt>
                <c:pt idx="437">
                  <c:v>-3949</c:v>
                </c:pt>
                <c:pt idx="438">
                  <c:v>-3431</c:v>
                </c:pt>
                <c:pt idx="439">
                  <c:v>-2585</c:v>
                </c:pt>
                <c:pt idx="440">
                  <c:v>-2032</c:v>
                </c:pt>
                <c:pt idx="441">
                  <c:v>-1458</c:v>
                </c:pt>
                <c:pt idx="442" formatCode="General">
                  <c:v>0.878</c:v>
                </c:pt>
                <c:pt idx="443" formatCode="General">
                  <c:v>0.29299999999999998</c:v>
                </c:pt>
                <c:pt idx="444" formatCode="General">
                  <c:v>0.29299999999999998</c:v>
                </c:pt>
                <c:pt idx="445" formatCode="General">
                  <c:v>0.878</c:v>
                </c:pt>
                <c:pt idx="446">
                  <c:v>1458</c:v>
                </c:pt>
                <c:pt idx="447">
                  <c:v>2020</c:v>
                </c:pt>
                <c:pt idx="448">
                  <c:v>2886</c:v>
                </c:pt>
                <c:pt idx="449">
                  <c:v>3420</c:v>
                </c:pt>
                <c:pt idx="450">
                  <c:v>3938</c:v>
                </c:pt>
                <c:pt idx="451">
                  <c:v>4707</c:v>
                </c:pt>
                <c:pt idx="452">
                  <c:v>5416</c:v>
                </c:pt>
                <c:pt idx="453">
                  <c:v>6069</c:v>
                </c:pt>
                <c:pt idx="454">
                  <c:v>6658</c:v>
                </c:pt>
                <c:pt idx="455">
                  <c:v>7177</c:v>
                </c:pt>
                <c:pt idx="456">
                  <c:v>7620</c:v>
                </c:pt>
                <c:pt idx="457">
                  <c:v>7984</c:v>
                </c:pt>
                <c:pt idx="458">
                  <c:v>8264</c:v>
                </c:pt>
                <c:pt idx="459">
                  <c:v>8460</c:v>
                </c:pt>
                <c:pt idx="460">
                  <c:v>8539</c:v>
                </c:pt>
                <c:pt idx="461">
                  <c:v>8579</c:v>
                </c:pt>
                <c:pt idx="462">
                  <c:v>8584</c:v>
                </c:pt>
                <c:pt idx="463">
                  <c:v>9600</c:v>
                </c:pt>
                <c:pt idx="464">
                  <c:v>-9600</c:v>
                </c:pt>
                <c:pt idx="465">
                  <c:v>-9599</c:v>
                </c:pt>
                <c:pt idx="466">
                  <c:v>-9577</c:v>
                </c:pt>
                <c:pt idx="467">
                  <c:v>-9510</c:v>
                </c:pt>
                <c:pt idx="468">
                  <c:v>-9399</c:v>
                </c:pt>
                <c:pt idx="469">
                  <c:v>-9244</c:v>
                </c:pt>
                <c:pt idx="470">
                  <c:v>-9045</c:v>
                </c:pt>
                <c:pt idx="471">
                  <c:v>-8806</c:v>
                </c:pt>
                <c:pt idx="472">
                  <c:v>-8367</c:v>
                </c:pt>
                <c:pt idx="473">
                  <c:v>-7841</c:v>
                </c:pt>
                <c:pt idx="474">
                  <c:v>-7447</c:v>
                </c:pt>
                <c:pt idx="475">
                  <c:v>-7016</c:v>
                </c:pt>
                <c:pt idx="476">
                  <c:v>-6552</c:v>
                </c:pt>
                <c:pt idx="477">
                  <c:v>-6058</c:v>
                </c:pt>
                <c:pt idx="478">
                  <c:v>-5536</c:v>
                </c:pt>
                <c:pt idx="479">
                  <c:v>-4988</c:v>
                </c:pt>
                <c:pt idx="480">
                  <c:v>-4417</c:v>
                </c:pt>
                <c:pt idx="481">
                  <c:v>-3828</c:v>
                </c:pt>
                <c:pt idx="482">
                  <c:v>-2901</c:v>
                </c:pt>
                <c:pt idx="483">
                  <c:v>-2273</c:v>
                </c:pt>
                <c:pt idx="484">
                  <c:v>-1631</c:v>
                </c:pt>
                <c:pt idx="485" formatCode="General">
                  <c:v>0.98199999999999998</c:v>
                </c:pt>
                <c:pt idx="486" formatCode="General">
                  <c:v>0.32800000000000001</c:v>
                </c:pt>
                <c:pt idx="487" formatCode="General">
                  <c:v>0.32800000000000001</c:v>
                </c:pt>
                <c:pt idx="488" formatCode="General">
                  <c:v>0.98199999999999998</c:v>
                </c:pt>
                <c:pt idx="489">
                  <c:v>1631</c:v>
                </c:pt>
                <c:pt idx="490">
                  <c:v>2270</c:v>
                </c:pt>
                <c:pt idx="491">
                  <c:v>3218</c:v>
                </c:pt>
                <c:pt idx="492">
                  <c:v>3825</c:v>
                </c:pt>
                <c:pt idx="493">
                  <c:v>4413</c:v>
                </c:pt>
                <c:pt idx="494">
                  <c:v>5265</c:v>
                </c:pt>
                <c:pt idx="495">
                  <c:v>6058</c:v>
                </c:pt>
                <c:pt idx="496">
                  <c:v>6788</c:v>
                </c:pt>
                <c:pt idx="497">
                  <c:v>7446</c:v>
                </c:pt>
                <c:pt idx="498">
                  <c:v>8027</c:v>
                </c:pt>
                <c:pt idx="499">
                  <c:v>8523</c:v>
                </c:pt>
                <c:pt idx="500">
                  <c:v>8930</c:v>
                </c:pt>
                <c:pt idx="501">
                  <c:v>9244</c:v>
                </c:pt>
                <c:pt idx="502">
                  <c:v>9461</c:v>
                </c:pt>
                <c:pt idx="503">
                  <c:v>9549</c:v>
                </c:pt>
                <c:pt idx="504">
                  <c:v>9594</c:v>
                </c:pt>
                <c:pt idx="505">
                  <c:v>9600</c:v>
                </c:pt>
                <c:pt idx="506">
                  <c:v>8906</c:v>
                </c:pt>
                <c:pt idx="507">
                  <c:v>4739</c:v>
                </c:pt>
                <c:pt idx="508">
                  <c:v>3729</c:v>
                </c:pt>
                <c:pt idx="509">
                  <c:v>3275</c:v>
                </c:pt>
                <c:pt idx="510">
                  <c:v>2780</c:v>
                </c:pt>
                <c:pt idx="511">
                  <c:v>2221</c:v>
                </c:pt>
                <c:pt idx="512">
                  <c:v>1883</c:v>
                </c:pt>
                <c:pt idx="513">
                  <c:v>1534</c:v>
                </c:pt>
                <c:pt idx="514" formatCode="General">
                  <c:v>0.88100000000000001</c:v>
                </c:pt>
                <c:pt idx="515" formatCode="General">
                  <c:v>0.51400000000000001</c:v>
                </c:pt>
                <c:pt idx="516" formatCode="General">
                  <c:v>0.151</c:v>
                </c:pt>
                <c:pt idx="517">
                  <c:v>6457</c:v>
                </c:pt>
                <c:pt idx="518">
                  <c:v>6491</c:v>
                </c:pt>
                <c:pt idx="519">
                  <c:v>6492</c:v>
                </c:pt>
                <c:pt idx="520">
                  <c:v>-1635</c:v>
                </c:pt>
                <c:pt idx="521">
                  <c:v>-2283</c:v>
                </c:pt>
                <c:pt idx="522">
                  <c:v>-3039</c:v>
                </c:pt>
                <c:pt idx="523">
                  <c:v>6493</c:v>
                </c:pt>
                <c:pt idx="524">
                  <c:v>6494</c:v>
                </c:pt>
                <c:pt idx="525">
                  <c:v>-4191</c:v>
                </c:pt>
                <c:pt idx="526">
                  <c:v>-4593</c:v>
                </c:pt>
                <c:pt idx="527">
                  <c:v>-4882</c:v>
                </c:pt>
                <c:pt idx="528">
                  <c:v>-5134</c:v>
                </c:pt>
                <c:pt idx="529">
                  <c:v>5668</c:v>
                </c:pt>
                <c:pt idx="530">
                  <c:v>3808</c:v>
                </c:pt>
                <c:pt idx="531">
                  <c:v>-5857</c:v>
                </c:pt>
                <c:pt idx="532">
                  <c:v>-6011</c:v>
                </c:pt>
                <c:pt idx="533">
                  <c:v>-6149</c:v>
                </c:pt>
                <c:pt idx="534">
                  <c:v>-6350</c:v>
                </c:pt>
                <c:pt idx="535">
                  <c:v>1949</c:v>
                </c:pt>
                <c:pt idx="536" formatCode="General">
                  <c:v>0.09</c:v>
                </c:pt>
                <c:pt idx="537">
                  <c:v>-6496</c:v>
                </c:pt>
                <c:pt idx="538">
                  <c:v>-6496</c:v>
                </c:pt>
                <c:pt idx="539">
                  <c:v>-1770</c:v>
                </c:pt>
                <c:pt idx="540">
                  <c:v>-3629</c:v>
                </c:pt>
                <c:pt idx="541">
                  <c:v>-6497</c:v>
                </c:pt>
                <c:pt idx="542">
                  <c:v>-6497</c:v>
                </c:pt>
                <c:pt idx="543">
                  <c:v>-5489</c:v>
                </c:pt>
                <c:pt idx="544">
                  <c:v>-5489</c:v>
                </c:pt>
                <c:pt idx="545">
                  <c:v>7287</c:v>
                </c:pt>
                <c:pt idx="546">
                  <c:v>-7288</c:v>
                </c:pt>
                <c:pt idx="547">
                  <c:v>-7287</c:v>
                </c:pt>
                <c:pt idx="548">
                  <c:v>-7270</c:v>
                </c:pt>
                <c:pt idx="549">
                  <c:v>-7219</c:v>
                </c:pt>
                <c:pt idx="550">
                  <c:v>-7135</c:v>
                </c:pt>
                <c:pt idx="551">
                  <c:v>-7017</c:v>
                </c:pt>
                <c:pt idx="552">
                  <c:v>-6862</c:v>
                </c:pt>
                <c:pt idx="553">
                  <c:v>-6582</c:v>
                </c:pt>
                <c:pt idx="554">
                  <c:v>-6363</c:v>
                </c:pt>
                <c:pt idx="555">
                  <c:v>-5939</c:v>
                </c:pt>
                <c:pt idx="556">
                  <c:v>-5653</c:v>
                </c:pt>
                <c:pt idx="557">
                  <c:v>-5326</c:v>
                </c:pt>
                <c:pt idx="558">
                  <c:v>-4974</c:v>
                </c:pt>
                <c:pt idx="559">
                  <c:v>-4599</c:v>
                </c:pt>
                <c:pt idx="560">
                  <c:v>-4202</c:v>
                </c:pt>
                <c:pt idx="561">
                  <c:v>-3786</c:v>
                </c:pt>
                <c:pt idx="562">
                  <c:v>-3353</c:v>
                </c:pt>
                <c:pt idx="563">
                  <c:v>-2924</c:v>
                </c:pt>
                <c:pt idx="564">
                  <c:v>-2182</c:v>
                </c:pt>
                <c:pt idx="565">
                  <c:v>-1725</c:v>
                </c:pt>
                <c:pt idx="566">
                  <c:v>-1238</c:v>
                </c:pt>
                <c:pt idx="567" formatCode="General">
                  <c:v>0.745</c:v>
                </c:pt>
                <c:pt idx="568" formatCode="General">
                  <c:v>0.249</c:v>
                </c:pt>
                <c:pt idx="569" formatCode="General">
                  <c:v>0.249</c:v>
                </c:pt>
                <c:pt idx="570" formatCode="General">
                  <c:v>0.745</c:v>
                </c:pt>
                <c:pt idx="571">
                  <c:v>1238</c:v>
                </c:pt>
                <c:pt idx="572">
                  <c:v>1703</c:v>
                </c:pt>
                <c:pt idx="573">
                  <c:v>2462</c:v>
                </c:pt>
                <c:pt idx="574">
                  <c:v>2903</c:v>
                </c:pt>
                <c:pt idx="575">
                  <c:v>3332</c:v>
                </c:pt>
                <c:pt idx="576">
                  <c:v>3996</c:v>
                </c:pt>
                <c:pt idx="577">
                  <c:v>4598</c:v>
                </c:pt>
                <c:pt idx="578">
                  <c:v>5151</c:v>
                </c:pt>
                <c:pt idx="579">
                  <c:v>5651</c:v>
                </c:pt>
                <c:pt idx="580">
                  <c:v>6092</c:v>
                </c:pt>
                <c:pt idx="581">
                  <c:v>6468</c:v>
                </c:pt>
                <c:pt idx="582">
                  <c:v>6777</c:v>
                </c:pt>
                <c:pt idx="583">
                  <c:v>7015</c:v>
                </c:pt>
                <c:pt idx="584">
                  <c:v>7184</c:v>
                </c:pt>
                <c:pt idx="585">
                  <c:v>7249</c:v>
                </c:pt>
                <c:pt idx="586">
                  <c:v>7283</c:v>
                </c:pt>
                <c:pt idx="587">
                  <c:v>7287</c:v>
                </c:pt>
                <c:pt idx="588">
                  <c:v>8584</c:v>
                </c:pt>
                <c:pt idx="589">
                  <c:v>-8584</c:v>
                </c:pt>
                <c:pt idx="590">
                  <c:v>-8583</c:v>
                </c:pt>
                <c:pt idx="591">
                  <c:v>-8564</c:v>
                </c:pt>
                <c:pt idx="592">
                  <c:v>-8504</c:v>
                </c:pt>
                <c:pt idx="593">
                  <c:v>-8404</c:v>
                </c:pt>
                <c:pt idx="594">
                  <c:v>-8265</c:v>
                </c:pt>
                <c:pt idx="595">
                  <c:v>-8086</c:v>
                </c:pt>
                <c:pt idx="596">
                  <c:v>-7752</c:v>
                </c:pt>
                <c:pt idx="597">
                  <c:v>-7488</c:v>
                </c:pt>
                <c:pt idx="598">
                  <c:v>-7005</c:v>
                </c:pt>
                <c:pt idx="599">
                  <c:v>-6658</c:v>
                </c:pt>
                <c:pt idx="600">
                  <c:v>-6273</c:v>
                </c:pt>
                <c:pt idx="601">
                  <c:v>-5859</c:v>
                </c:pt>
                <c:pt idx="602">
                  <c:v>-5417</c:v>
                </c:pt>
                <c:pt idx="603">
                  <c:v>-4950</c:v>
                </c:pt>
                <c:pt idx="604">
                  <c:v>-4460</c:v>
                </c:pt>
                <c:pt idx="605">
                  <c:v>-3949</c:v>
                </c:pt>
                <c:pt idx="606">
                  <c:v>-3431</c:v>
                </c:pt>
                <c:pt idx="607">
                  <c:v>-2585</c:v>
                </c:pt>
                <c:pt idx="608">
                  <c:v>-2032</c:v>
                </c:pt>
                <c:pt idx="609">
                  <c:v>-1458</c:v>
                </c:pt>
                <c:pt idx="610" formatCode="General">
                  <c:v>0.878</c:v>
                </c:pt>
                <c:pt idx="611" formatCode="General">
                  <c:v>0.29299999999999998</c:v>
                </c:pt>
                <c:pt idx="612" formatCode="General">
                  <c:v>0.29299999999999998</c:v>
                </c:pt>
                <c:pt idx="613" formatCode="General">
                  <c:v>0.878</c:v>
                </c:pt>
                <c:pt idx="614">
                  <c:v>1458</c:v>
                </c:pt>
                <c:pt idx="615">
                  <c:v>2020</c:v>
                </c:pt>
                <c:pt idx="616">
                  <c:v>2886</c:v>
                </c:pt>
                <c:pt idx="617">
                  <c:v>3420</c:v>
                </c:pt>
                <c:pt idx="618">
                  <c:v>3938</c:v>
                </c:pt>
                <c:pt idx="619">
                  <c:v>4707</c:v>
                </c:pt>
                <c:pt idx="620">
                  <c:v>5416</c:v>
                </c:pt>
                <c:pt idx="621">
                  <c:v>6069</c:v>
                </c:pt>
                <c:pt idx="622">
                  <c:v>6658</c:v>
                </c:pt>
                <c:pt idx="623">
                  <c:v>7177</c:v>
                </c:pt>
                <c:pt idx="624">
                  <c:v>7620</c:v>
                </c:pt>
                <c:pt idx="625">
                  <c:v>7984</c:v>
                </c:pt>
                <c:pt idx="626">
                  <c:v>8264</c:v>
                </c:pt>
                <c:pt idx="627">
                  <c:v>8460</c:v>
                </c:pt>
                <c:pt idx="628">
                  <c:v>8539</c:v>
                </c:pt>
                <c:pt idx="629">
                  <c:v>8579</c:v>
                </c:pt>
                <c:pt idx="630">
                  <c:v>8584</c:v>
                </c:pt>
                <c:pt idx="631">
                  <c:v>9600</c:v>
                </c:pt>
                <c:pt idx="632">
                  <c:v>-9600</c:v>
                </c:pt>
                <c:pt idx="633">
                  <c:v>-9599</c:v>
                </c:pt>
                <c:pt idx="634">
                  <c:v>-9577</c:v>
                </c:pt>
                <c:pt idx="635">
                  <c:v>-9510</c:v>
                </c:pt>
                <c:pt idx="636">
                  <c:v>-9399</c:v>
                </c:pt>
                <c:pt idx="637">
                  <c:v>-9244</c:v>
                </c:pt>
                <c:pt idx="638">
                  <c:v>-9045</c:v>
                </c:pt>
                <c:pt idx="639">
                  <c:v>-8670</c:v>
                </c:pt>
                <c:pt idx="640">
                  <c:v>-8369</c:v>
                </c:pt>
                <c:pt idx="641">
                  <c:v>-7841</c:v>
                </c:pt>
                <c:pt idx="642">
                  <c:v>-7447</c:v>
                </c:pt>
                <c:pt idx="643">
                  <c:v>-7016</c:v>
                </c:pt>
                <c:pt idx="644">
                  <c:v>-6552</c:v>
                </c:pt>
                <c:pt idx="645">
                  <c:v>-6058</c:v>
                </c:pt>
                <c:pt idx="646">
                  <c:v>-5536</c:v>
                </c:pt>
                <c:pt idx="647">
                  <c:v>-4988</c:v>
                </c:pt>
                <c:pt idx="648">
                  <c:v>-4417</c:v>
                </c:pt>
                <c:pt idx="649">
                  <c:v>-3828</c:v>
                </c:pt>
                <c:pt idx="650">
                  <c:v>-2901</c:v>
                </c:pt>
                <c:pt idx="651">
                  <c:v>-2273</c:v>
                </c:pt>
                <c:pt idx="652">
                  <c:v>-1631</c:v>
                </c:pt>
                <c:pt idx="653" formatCode="General">
                  <c:v>0.98199999999999998</c:v>
                </c:pt>
                <c:pt idx="654" formatCode="General">
                  <c:v>0.32800000000000001</c:v>
                </c:pt>
                <c:pt idx="655" formatCode="General">
                  <c:v>0.32800000000000001</c:v>
                </c:pt>
                <c:pt idx="656" formatCode="General">
                  <c:v>0.98199999999999998</c:v>
                </c:pt>
                <c:pt idx="657">
                  <c:v>1631</c:v>
                </c:pt>
                <c:pt idx="658">
                  <c:v>2270</c:v>
                </c:pt>
                <c:pt idx="659">
                  <c:v>3218</c:v>
                </c:pt>
                <c:pt idx="660">
                  <c:v>3825</c:v>
                </c:pt>
                <c:pt idx="661">
                  <c:v>4413</c:v>
                </c:pt>
                <c:pt idx="662">
                  <c:v>5265</c:v>
                </c:pt>
                <c:pt idx="663">
                  <c:v>6058</c:v>
                </c:pt>
                <c:pt idx="664">
                  <c:v>6788</c:v>
                </c:pt>
                <c:pt idx="665">
                  <c:v>7446</c:v>
                </c:pt>
                <c:pt idx="666">
                  <c:v>8027</c:v>
                </c:pt>
                <c:pt idx="667">
                  <c:v>8523</c:v>
                </c:pt>
                <c:pt idx="668">
                  <c:v>8930</c:v>
                </c:pt>
                <c:pt idx="669">
                  <c:v>9243</c:v>
                </c:pt>
                <c:pt idx="670">
                  <c:v>9461</c:v>
                </c:pt>
                <c:pt idx="671">
                  <c:v>9549</c:v>
                </c:pt>
                <c:pt idx="672">
                  <c:v>9594</c:v>
                </c:pt>
                <c:pt idx="673">
                  <c:v>9600</c:v>
                </c:pt>
                <c:pt idx="674">
                  <c:v>8906</c:v>
                </c:pt>
                <c:pt idx="675">
                  <c:v>6588</c:v>
                </c:pt>
                <c:pt idx="676">
                  <c:v>-6391</c:v>
                </c:pt>
                <c:pt idx="677">
                  <c:v>3522</c:v>
                </c:pt>
                <c:pt idx="678">
                  <c:v>3081</c:v>
                </c:pt>
                <c:pt idx="679">
                  <c:v>2602</c:v>
                </c:pt>
                <c:pt idx="680">
                  <c:v>2059</c:v>
                </c:pt>
                <c:pt idx="681">
                  <c:v>1733</c:v>
                </c:pt>
                <c:pt idx="682">
                  <c:v>1398</c:v>
                </c:pt>
                <c:pt idx="683" formatCode="General">
                  <c:v>0.76100000000000001</c:v>
                </c:pt>
                <c:pt idx="684" formatCode="General">
                  <c:v>0.40799999999999997</c:v>
                </c:pt>
                <c:pt idx="685" formatCode="General">
                  <c:v>1.4999999999999999E-2</c:v>
                </c:pt>
                <c:pt idx="686" formatCode="General">
                  <c:v>0.38</c:v>
                </c:pt>
                <c:pt idx="687" formatCode="General">
                  <c:v>0.77600000000000002</c:v>
                </c:pt>
                <c:pt idx="688">
                  <c:v>-1171</c:v>
                </c:pt>
                <c:pt idx="689">
                  <c:v>-1563</c:v>
                </c:pt>
                <c:pt idx="690">
                  <c:v>-1951</c:v>
                </c:pt>
                <c:pt idx="691">
                  <c:v>-2298</c:v>
                </c:pt>
                <c:pt idx="692">
                  <c:v>-2921</c:v>
                </c:pt>
                <c:pt idx="693">
                  <c:v>-3246</c:v>
                </c:pt>
                <c:pt idx="694">
                  <c:v>-3592</c:v>
                </c:pt>
                <c:pt idx="695">
                  <c:v>-3923</c:v>
                </c:pt>
                <c:pt idx="696">
                  <c:v>-4239</c:v>
                </c:pt>
                <c:pt idx="697">
                  <c:v>-4537</c:v>
                </c:pt>
                <c:pt idx="698">
                  <c:v>-4817</c:v>
                </c:pt>
                <c:pt idx="699">
                  <c:v>-5077</c:v>
                </c:pt>
                <c:pt idx="700">
                  <c:v>-5295</c:v>
                </c:pt>
                <c:pt idx="701">
                  <c:v>-5651</c:v>
                </c:pt>
                <c:pt idx="702">
                  <c:v>-5955</c:v>
                </c:pt>
                <c:pt idx="703">
                  <c:v>-6167</c:v>
                </c:pt>
                <c:pt idx="704">
                  <c:v>-6257</c:v>
                </c:pt>
                <c:pt idx="705">
                  <c:v>-6324</c:v>
                </c:pt>
                <c:pt idx="706">
                  <c:v>-6365</c:v>
                </c:pt>
                <c:pt idx="707">
                  <c:v>-6380</c:v>
                </c:pt>
                <c:pt idx="708">
                  <c:v>-6380</c:v>
                </c:pt>
                <c:pt idx="709">
                  <c:v>4677</c:v>
                </c:pt>
                <c:pt idx="710">
                  <c:v>4677</c:v>
                </c:pt>
                <c:pt idx="711">
                  <c:v>7287</c:v>
                </c:pt>
                <c:pt idx="712">
                  <c:v>-7288</c:v>
                </c:pt>
                <c:pt idx="713">
                  <c:v>-7287</c:v>
                </c:pt>
                <c:pt idx="714">
                  <c:v>-7271</c:v>
                </c:pt>
                <c:pt idx="715">
                  <c:v>-7219</c:v>
                </c:pt>
                <c:pt idx="716">
                  <c:v>-7135</c:v>
                </c:pt>
                <c:pt idx="717">
                  <c:v>-7017</c:v>
                </c:pt>
                <c:pt idx="718">
                  <c:v>-6862</c:v>
                </c:pt>
                <c:pt idx="719">
                  <c:v>-6583</c:v>
                </c:pt>
                <c:pt idx="720">
                  <c:v>-6363</c:v>
                </c:pt>
                <c:pt idx="721">
                  <c:v>-5939</c:v>
                </c:pt>
                <c:pt idx="722">
                  <c:v>-5653</c:v>
                </c:pt>
                <c:pt idx="723">
                  <c:v>-5326</c:v>
                </c:pt>
                <c:pt idx="724">
                  <c:v>-4974</c:v>
                </c:pt>
                <c:pt idx="725">
                  <c:v>-4599</c:v>
                </c:pt>
                <c:pt idx="726">
                  <c:v>-4202</c:v>
                </c:pt>
                <c:pt idx="727">
                  <c:v>-3786</c:v>
                </c:pt>
                <c:pt idx="728">
                  <c:v>-3353</c:v>
                </c:pt>
                <c:pt idx="729">
                  <c:v>-2903</c:v>
                </c:pt>
                <c:pt idx="730">
                  <c:v>-2428</c:v>
                </c:pt>
                <c:pt idx="731">
                  <c:v>-1729</c:v>
                </c:pt>
                <c:pt idx="732">
                  <c:v>-1238</c:v>
                </c:pt>
                <c:pt idx="733" formatCode="General">
                  <c:v>0.745</c:v>
                </c:pt>
                <c:pt idx="734" formatCode="General">
                  <c:v>0.249</c:v>
                </c:pt>
                <c:pt idx="735" formatCode="General">
                  <c:v>0.249</c:v>
                </c:pt>
                <c:pt idx="736" formatCode="General">
                  <c:v>0.745</c:v>
                </c:pt>
                <c:pt idx="737">
                  <c:v>1238</c:v>
                </c:pt>
                <c:pt idx="738">
                  <c:v>1703</c:v>
                </c:pt>
                <c:pt idx="739">
                  <c:v>2462</c:v>
                </c:pt>
                <c:pt idx="740">
                  <c:v>2903</c:v>
                </c:pt>
                <c:pt idx="741">
                  <c:v>3332</c:v>
                </c:pt>
                <c:pt idx="742">
                  <c:v>3996</c:v>
                </c:pt>
                <c:pt idx="743">
                  <c:v>4598</c:v>
                </c:pt>
                <c:pt idx="744">
                  <c:v>5151</c:v>
                </c:pt>
                <c:pt idx="745">
                  <c:v>5651</c:v>
                </c:pt>
                <c:pt idx="746">
                  <c:v>6092</c:v>
                </c:pt>
                <c:pt idx="747">
                  <c:v>6468</c:v>
                </c:pt>
                <c:pt idx="748">
                  <c:v>6777</c:v>
                </c:pt>
                <c:pt idx="749">
                  <c:v>7022</c:v>
                </c:pt>
                <c:pt idx="750">
                  <c:v>7191</c:v>
                </c:pt>
                <c:pt idx="751">
                  <c:v>7249</c:v>
                </c:pt>
                <c:pt idx="752">
                  <c:v>7283</c:v>
                </c:pt>
                <c:pt idx="753">
                  <c:v>7287</c:v>
                </c:pt>
                <c:pt idx="754">
                  <c:v>8584</c:v>
                </c:pt>
                <c:pt idx="755">
                  <c:v>-8584</c:v>
                </c:pt>
                <c:pt idx="756">
                  <c:v>-8583</c:v>
                </c:pt>
                <c:pt idx="757">
                  <c:v>-8564</c:v>
                </c:pt>
                <c:pt idx="758">
                  <c:v>-8504</c:v>
                </c:pt>
                <c:pt idx="759">
                  <c:v>-8404</c:v>
                </c:pt>
                <c:pt idx="760">
                  <c:v>-8265</c:v>
                </c:pt>
                <c:pt idx="761">
                  <c:v>-8086</c:v>
                </c:pt>
                <c:pt idx="762">
                  <c:v>-7752</c:v>
                </c:pt>
                <c:pt idx="763">
                  <c:v>-7488</c:v>
                </c:pt>
                <c:pt idx="764">
                  <c:v>-7005</c:v>
                </c:pt>
                <c:pt idx="765">
                  <c:v>-6658</c:v>
                </c:pt>
                <c:pt idx="766">
                  <c:v>-6273</c:v>
                </c:pt>
                <c:pt idx="767">
                  <c:v>-5859</c:v>
                </c:pt>
                <c:pt idx="768">
                  <c:v>-5417</c:v>
                </c:pt>
                <c:pt idx="769">
                  <c:v>-4950</c:v>
                </c:pt>
                <c:pt idx="770">
                  <c:v>-4460</c:v>
                </c:pt>
                <c:pt idx="771">
                  <c:v>-3949</c:v>
                </c:pt>
                <c:pt idx="772">
                  <c:v>-3420</c:v>
                </c:pt>
                <c:pt idx="773">
                  <c:v>-2868</c:v>
                </c:pt>
                <c:pt idx="774">
                  <c:v>-2034</c:v>
                </c:pt>
                <c:pt idx="775">
                  <c:v>-1458</c:v>
                </c:pt>
                <c:pt idx="776" formatCode="General">
                  <c:v>0.878</c:v>
                </c:pt>
                <c:pt idx="777" formatCode="General">
                  <c:v>0.29299999999999998</c:v>
                </c:pt>
                <c:pt idx="778" formatCode="General">
                  <c:v>0.29299999999999998</c:v>
                </c:pt>
                <c:pt idx="779" formatCode="General">
                  <c:v>0.878</c:v>
                </c:pt>
                <c:pt idx="780">
                  <c:v>1458</c:v>
                </c:pt>
                <c:pt idx="781">
                  <c:v>2020</c:v>
                </c:pt>
                <c:pt idx="782">
                  <c:v>2886</c:v>
                </c:pt>
                <c:pt idx="783">
                  <c:v>3420</c:v>
                </c:pt>
                <c:pt idx="784">
                  <c:v>3938</c:v>
                </c:pt>
                <c:pt idx="785">
                  <c:v>4707</c:v>
                </c:pt>
                <c:pt idx="786">
                  <c:v>5416</c:v>
                </c:pt>
                <c:pt idx="787">
                  <c:v>6069</c:v>
                </c:pt>
                <c:pt idx="788">
                  <c:v>6658</c:v>
                </c:pt>
                <c:pt idx="789">
                  <c:v>7177</c:v>
                </c:pt>
                <c:pt idx="790">
                  <c:v>7620</c:v>
                </c:pt>
                <c:pt idx="791">
                  <c:v>7984</c:v>
                </c:pt>
                <c:pt idx="792">
                  <c:v>8268</c:v>
                </c:pt>
                <c:pt idx="793">
                  <c:v>8406</c:v>
                </c:pt>
                <c:pt idx="794">
                  <c:v>8471</c:v>
                </c:pt>
                <c:pt idx="795">
                  <c:v>8538</c:v>
                </c:pt>
                <c:pt idx="796">
                  <c:v>8579</c:v>
                </c:pt>
                <c:pt idx="797">
                  <c:v>8584</c:v>
                </c:pt>
                <c:pt idx="798">
                  <c:v>9600</c:v>
                </c:pt>
                <c:pt idx="799">
                  <c:v>-9600</c:v>
                </c:pt>
                <c:pt idx="800">
                  <c:v>-9598</c:v>
                </c:pt>
                <c:pt idx="801">
                  <c:v>-9577</c:v>
                </c:pt>
                <c:pt idx="802">
                  <c:v>-9510</c:v>
                </c:pt>
                <c:pt idx="803">
                  <c:v>-9399</c:v>
                </c:pt>
                <c:pt idx="804">
                  <c:v>-9244</c:v>
                </c:pt>
                <c:pt idx="805">
                  <c:v>-9045</c:v>
                </c:pt>
                <c:pt idx="806">
                  <c:v>-8670</c:v>
                </c:pt>
                <c:pt idx="807">
                  <c:v>-8369</c:v>
                </c:pt>
                <c:pt idx="808">
                  <c:v>-7841</c:v>
                </c:pt>
                <c:pt idx="809">
                  <c:v>-7447</c:v>
                </c:pt>
                <c:pt idx="810">
                  <c:v>-7016</c:v>
                </c:pt>
                <c:pt idx="811">
                  <c:v>-6552</c:v>
                </c:pt>
                <c:pt idx="812">
                  <c:v>-6058</c:v>
                </c:pt>
                <c:pt idx="813">
                  <c:v>-5536</c:v>
                </c:pt>
                <c:pt idx="814">
                  <c:v>-4988</c:v>
                </c:pt>
                <c:pt idx="815">
                  <c:v>-4417</c:v>
                </c:pt>
                <c:pt idx="816">
                  <c:v>-3825</c:v>
                </c:pt>
                <c:pt idx="817">
                  <c:v>-3213</c:v>
                </c:pt>
                <c:pt idx="818">
                  <c:v>-2273</c:v>
                </c:pt>
                <c:pt idx="819">
                  <c:v>-1631</c:v>
                </c:pt>
                <c:pt idx="820" formatCode="General">
                  <c:v>0.98199999999999998</c:v>
                </c:pt>
                <c:pt idx="821" formatCode="General">
                  <c:v>0.32800000000000001</c:v>
                </c:pt>
                <c:pt idx="822" formatCode="General">
                  <c:v>0.32800000000000001</c:v>
                </c:pt>
                <c:pt idx="823" formatCode="General">
                  <c:v>0.98199999999999998</c:v>
                </c:pt>
                <c:pt idx="824">
                  <c:v>1631</c:v>
                </c:pt>
                <c:pt idx="825">
                  <c:v>2270</c:v>
                </c:pt>
                <c:pt idx="826">
                  <c:v>3218</c:v>
                </c:pt>
                <c:pt idx="827">
                  <c:v>3825</c:v>
                </c:pt>
                <c:pt idx="828">
                  <c:v>4413</c:v>
                </c:pt>
                <c:pt idx="829">
                  <c:v>5265</c:v>
                </c:pt>
                <c:pt idx="830">
                  <c:v>6058</c:v>
                </c:pt>
                <c:pt idx="831">
                  <c:v>6788</c:v>
                </c:pt>
                <c:pt idx="832">
                  <c:v>7446</c:v>
                </c:pt>
                <c:pt idx="833">
                  <c:v>8027</c:v>
                </c:pt>
                <c:pt idx="834">
                  <c:v>8523</c:v>
                </c:pt>
                <c:pt idx="835">
                  <c:v>8930</c:v>
                </c:pt>
                <c:pt idx="836">
                  <c:v>9245</c:v>
                </c:pt>
                <c:pt idx="837">
                  <c:v>9399</c:v>
                </c:pt>
                <c:pt idx="838">
                  <c:v>9474</c:v>
                </c:pt>
                <c:pt idx="839">
                  <c:v>9549</c:v>
                </c:pt>
                <c:pt idx="840">
                  <c:v>9594</c:v>
                </c:pt>
                <c:pt idx="841">
                  <c:v>9600</c:v>
                </c:pt>
                <c:pt idx="842">
                  <c:v>8906</c:v>
                </c:pt>
                <c:pt idx="843">
                  <c:v>6588</c:v>
                </c:pt>
                <c:pt idx="844">
                  <c:v>-6391</c:v>
                </c:pt>
                <c:pt idx="845">
                  <c:v>3522</c:v>
                </c:pt>
                <c:pt idx="846">
                  <c:v>3081</c:v>
                </c:pt>
                <c:pt idx="847">
                  <c:v>2602</c:v>
                </c:pt>
                <c:pt idx="848">
                  <c:v>2059</c:v>
                </c:pt>
                <c:pt idx="849">
                  <c:v>1733</c:v>
                </c:pt>
                <c:pt idx="850">
                  <c:v>1398</c:v>
                </c:pt>
                <c:pt idx="851" formatCode="General">
                  <c:v>0.76100000000000001</c:v>
                </c:pt>
                <c:pt idx="852" formatCode="General">
                  <c:v>0.40799999999999997</c:v>
                </c:pt>
                <c:pt idx="853" formatCode="General">
                  <c:v>1.4999999999999999E-2</c:v>
                </c:pt>
                <c:pt idx="854" formatCode="General">
                  <c:v>0.38</c:v>
                </c:pt>
                <c:pt idx="855" formatCode="General">
                  <c:v>0.77600000000000002</c:v>
                </c:pt>
                <c:pt idx="856">
                  <c:v>-1171</c:v>
                </c:pt>
                <c:pt idx="857">
                  <c:v>-1563</c:v>
                </c:pt>
                <c:pt idx="858">
                  <c:v>-2269</c:v>
                </c:pt>
                <c:pt idx="859">
                  <c:v>-2903</c:v>
                </c:pt>
                <c:pt idx="860">
                  <c:v>-3246</c:v>
                </c:pt>
                <c:pt idx="861">
                  <c:v>-3592</c:v>
                </c:pt>
                <c:pt idx="862">
                  <c:v>-3923</c:v>
                </c:pt>
                <c:pt idx="863">
                  <c:v>-4239</c:v>
                </c:pt>
                <c:pt idx="864">
                  <c:v>-4537</c:v>
                </c:pt>
                <c:pt idx="865">
                  <c:v>-4817</c:v>
                </c:pt>
                <c:pt idx="866">
                  <c:v>-5077</c:v>
                </c:pt>
                <c:pt idx="867">
                  <c:v>-5295</c:v>
                </c:pt>
                <c:pt idx="868">
                  <c:v>-5651</c:v>
                </c:pt>
                <c:pt idx="869">
                  <c:v>-5949</c:v>
                </c:pt>
                <c:pt idx="870">
                  <c:v>-6167</c:v>
                </c:pt>
                <c:pt idx="871">
                  <c:v>-6257</c:v>
                </c:pt>
                <c:pt idx="872">
                  <c:v>-6324</c:v>
                </c:pt>
                <c:pt idx="873">
                  <c:v>-6366</c:v>
                </c:pt>
                <c:pt idx="874">
                  <c:v>-6379</c:v>
                </c:pt>
                <c:pt idx="875">
                  <c:v>-6380</c:v>
                </c:pt>
                <c:pt idx="876">
                  <c:v>4677</c:v>
                </c:pt>
                <c:pt idx="877">
                  <c:v>4677</c:v>
                </c:pt>
                <c:pt idx="878">
                  <c:v>7287</c:v>
                </c:pt>
                <c:pt idx="879">
                  <c:v>-7288</c:v>
                </c:pt>
                <c:pt idx="880">
                  <c:v>-7287</c:v>
                </c:pt>
                <c:pt idx="881">
                  <c:v>-7271</c:v>
                </c:pt>
                <c:pt idx="882">
                  <c:v>-7219</c:v>
                </c:pt>
                <c:pt idx="883">
                  <c:v>-7135</c:v>
                </c:pt>
                <c:pt idx="884">
                  <c:v>-7017</c:v>
                </c:pt>
                <c:pt idx="885">
                  <c:v>-6866</c:v>
                </c:pt>
                <c:pt idx="886">
                  <c:v>-6692</c:v>
                </c:pt>
                <c:pt idx="887">
                  <c:v>-6350</c:v>
                </c:pt>
                <c:pt idx="888">
                  <c:v>-5939</c:v>
                </c:pt>
                <c:pt idx="889">
                  <c:v>-5653</c:v>
                </c:pt>
                <c:pt idx="890">
                  <c:v>-5326</c:v>
                </c:pt>
                <c:pt idx="891">
                  <c:v>-4974</c:v>
                </c:pt>
                <c:pt idx="892">
                  <c:v>-4599</c:v>
                </c:pt>
                <c:pt idx="893">
                  <c:v>-4202</c:v>
                </c:pt>
                <c:pt idx="894">
                  <c:v>-3786</c:v>
                </c:pt>
                <c:pt idx="895">
                  <c:v>-3060</c:v>
                </c:pt>
                <c:pt idx="896">
                  <c:v>-2678</c:v>
                </c:pt>
                <c:pt idx="897">
                  <c:v>-2204</c:v>
                </c:pt>
                <c:pt idx="898">
                  <c:v>-1725</c:v>
                </c:pt>
                <c:pt idx="899">
                  <c:v>-1238</c:v>
                </c:pt>
                <c:pt idx="900" formatCode="General">
                  <c:v>0.745</c:v>
                </c:pt>
                <c:pt idx="901" formatCode="General">
                  <c:v>0.249</c:v>
                </c:pt>
                <c:pt idx="902" formatCode="General">
                  <c:v>0.249</c:v>
                </c:pt>
                <c:pt idx="903" formatCode="General">
                  <c:v>0.745</c:v>
                </c:pt>
                <c:pt idx="904">
                  <c:v>1238</c:v>
                </c:pt>
                <c:pt idx="905">
                  <c:v>1703</c:v>
                </c:pt>
                <c:pt idx="906">
                  <c:v>2462</c:v>
                </c:pt>
                <c:pt idx="907">
                  <c:v>2903</c:v>
                </c:pt>
                <c:pt idx="908">
                  <c:v>3332</c:v>
                </c:pt>
                <c:pt idx="909">
                  <c:v>3996</c:v>
                </c:pt>
                <c:pt idx="910">
                  <c:v>4598</c:v>
                </c:pt>
                <c:pt idx="911">
                  <c:v>5151</c:v>
                </c:pt>
                <c:pt idx="912">
                  <c:v>5651</c:v>
                </c:pt>
                <c:pt idx="913">
                  <c:v>6092</c:v>
                </c:pt>
                <c:pt idx="914">
                  <c:v>6468</c:v>
                </c:pt>
                <c:pt idx="915">
                  <c:v>6777</c:v>
                </c:pt>
                <c:pt idx="916">
                  <c:v>7015</c:v>
                </c:pt>
                <c:pt idx="917">
                  <c:v>7184</c:v>
                </c:pt>
                <c:pt idx="918">
                  <c:v>7249</c:v>
                </c:pt>
                <c:pt idx="919">
                  <c:v>7283</c:v>
                </c:pt>
                <c:pt idx="920">
                  <c:v>7287</c:v>
                </c:pt>
                <c:pt idx="921">
                  <c:v>8584</c:v>
                </c:pt>
                <c:pt idx="922">
                  <c:v>-8584</c:v>
                </c:pt>
                <c:pt idx="923">
                  <c:v>-8582</c:v>
                </c:pt>
                <c:pt idx="924">
                  <c:v>-8564</c:v>
                </c:pt>
                <c:pt idx="925">
                  <c:v>-8504</c:v>
                </c:pt>
                <c:pt idx="926">
                  <c:v>-8404</c:v>
                </c:pt>
                <c:pt idx="927">
                  <c:v>-8265</c:v>
                </c:pt>
                <c:pt idx="928">
                  <c:v>-8088</c:v>
                </c:pt>
                <c:pt idx="929">
                  <c:v>-7877</c:v>
                </c:pt>
                <c:pt idx="930">
                  <c:v>-7481</c:v>
                </c:pt>
                <c:pt idx="931">
                  <c:v>-7005</c:v>
                </c:pt>
                <c:pt idx="932">
                  <c:v>-6658</c:v>
                </c:pt>
                <c:pt idx="933">
                  <c:v>-6273</c:v>
                </c:pt>
                <c:pt idx="934">
                  <c:v>-5859</c:v>
                </c:pt>
                <c:pt idx="935">
                  <c:v>-5417</c:v>
                </c:pt>
                <c:pt idx="936">
                  <c:v>-4950</c:v>
                </c:pt>
                <c:pt idx="937">
                  <c:v>-4460</c:v>
                </c:pt>
                <c:pt idx="938">
                  <c:v>-3944</c:v>
                </c:pt>
                <c:pt idx="939">
                  <c:v>-3600</c:v>
                </c:pt>
                <c:pt idx="940">
                  <c:v>-3151</c:v>
                </c:pt>
                <c:pt idx="941">
                  <c:v>-2597</c:v>
                </c:pt>
                <c:pt idx="942">
                  <c:v>-2032</c:v>
                </c:pt>
                <c:pt idx="943">
                  <c:v>-1458</c:v>
                </c:pt>
                <c:pt idx="944" formatCode="General">
                  <c:v>0.878</c:v>
                </c:pt>
                <c:pt idx="945" formatCode="General">
                  <c:v>0.29299999999999998</c:v>
                </c:pt>
                <c:pt idx="946" formatCode="General">
                  <c:v>0.29299999999999998</c:v>
                </c:pt>
                <c:pt idx="947" formatCode="General">
                  <c:v>0.878</c:v>
                </c:pt>
                <c:pt idx="948">
                  <c:v>1458</c:v>
                </c:pt>
                <c:pt idx="949">
                  <c:v>2020</c:v>
                </c:pt>
                <c:pt idx="950">
                  <c:v>2886</c:v>
                </c:pt>
                <c:pt idx="951">
                  <c:v>3420</c:v>
                </c:pt>
                <c:pt idx="952">
                  <c:v>3938</c:v>
                </c:pt>
                <c:pt idx="953">
                  <c:v>4707</c:v>
                </c:pt>
                <c:pt idx="954">
                  <c:v>5416</c:v>
                </c:pt>
                <c:pt idx="955">
                  <c:v>6069</c:v>
                </c:pt>
                <c:pt idx="956">
                  <c:v>6658</c:v>
                </c:pt>
                <c:pt idx="957">
                  <c:v>7177</c:v>
                </c:pt>
                <c:pt idx="958">
                  <c:v>7620</c:v>
                </c:pt>
                <c:pt idx="959">
                  <c:v>7984</c:v>
                </c:pt>
                <c:pt idx="960">
                  <c:v>8264</c:v>
                </c:pt>
                <c:pt idx="961">
                  <c:v>8460</c:v>
                </c:pt>
                <c:pt idx="962">
                  <c:v>8539</c:v>
                </c:pt>
                <c:pt idx="963">
                  <c:v>8579</c:v>
                </c:pt>
                <c:pt idx="964">
                  <c:v>8584</c:v>
                </c:pt>
                <c:pt idx="965">
                  <c:v>9600</c:v>
                </c:pt>
                <c:pt idx="966">
                  <c:v>-9600</c:v>
                </c:pt>
                <c:pt idx="967">
                  <c:v>-9598</c:v>
                </c:pt>
                <c:pt idx="968">
                  <c:v>-9577</c:v>
                </c:pt>
                <c:pt idx="969">
                  <c:v>-9510</c:v>
                </c:pt>
                <c:pt idx="970">
                  <c:v>-9399</c:v>
                </c:pt>
                <c:pt idx="971">
                  <c:v>-9244</c:v>
                </c:pt>
                <c:pt idx="972">
                  <c:v>-9045</c:v>
                </c:pt>
                <c:pt idx="973">
                  <c:v>-8806</c:v>
                </c:pt>
                <c:pt idx="974">
                  <c:v>-8367</c:v>
                </c:pt>
                <c:pt idx="975">
                  <c:v>-7841</c:v>
                </c:pt>
                <c:pt idx="976">
                  <c:v>-7447</c:v>
                </c:pt>
                <c:pt idx="977">
                  <c:v>-7016</c:v>
                </c:pt>
                <c:pt idx="978">
                  <c:v>-6552</c:v>
                </c:pt>
                <c:pt idx="979">
                  <c:v>-6058</c:v>
                </c:pt>
                <c:pt idx="980">
                  <c:v>-5536</c:v>
                </c:pt>
                <c:pt idx="981">
                  <c:v>-4988</c:v>
                </c:pt>
                <c:pt idx="982">
                  <c:v>-4415</c:v>
                </c:pt>
                <c:pt idx="983">
                  <c:v>-4023</c:v>
                </c:pt>
                <c:pt idx="984">
                  <c:v>-3522</c:v>
                </c:pt>
                <c:pt idx="985">
                  <c:v>-2904</c:v>
                </c:pt>
                <c:pt idx="986">
                  <c:v>-2273</c:v>
                </c:pt>
                <c:pt idx="987">
                  <c:v>-1631</c:v>
                </c:pt>
                <c:pt idx="988" formatCode="General">
                  <c:v>0.98199999999999998</c:v>
                </c:pt>
                <c:pt idx="989" formatCode="General">
                  <c:v>0.32800000000000001</c:v>
                </c:pt>
                <c:pt idx="990" formatCode="General">
                  <c:v>0.32800000000000001</c:v>
                </c:pt>
                <c:pt idx="991" formatCode="General">
                  <c:v>0.98199999999999998</c:v>
                </c:pt>
                <c:pt idx="992">
                  <c:v>1631</c:v>
                </c:pt>
                <c:pt idx="993">
                  <c:v>2270</c:v>
                </c:pt>
                <c:pt idx="994">
                  <c:v>3218</c:v>
                </c:pt>
                <c:pt idx="995">
                  <c:v>3825</c:v>
                </c:pt>
                <c:pt idx="996">
                  <c:v>4413</c:v>
                </c:pt>
                <c:pt idx="997">
                  <c:v>5265</c:v>
                </c:pt>
                <c:pt idx="998">
                  <c:v>6058</c:v>
                </c:pt>
                <c:pt idx="999">
                  <c:v>6788</c:v>
                </c:pt>
                <c:pt idx="1000">
                  <c:v>7446</c:v>
                </c:pt>
                <c:pt idx="1001">
                  <c:v>8027</c:v>
                </c:pt>
                <c:pt idx="1002">
                  <c:v>8523</c:v>
                </c:pt>
                <c:pt idx="1003">
                  <c:v>8930</c:v>
                </c:pt>
                <c:pt idx="1004">
                  <c:v>9244</c:v>
                </c:pt>
                <c:pt idx="1005">
                  <c:v>9461</c:v>
                </c:pt>
                <c:pt idx="1006">
                  <c:v>9549</c:v>
                </c:pt>
                <c:pt idx="1007">
                  <c:v>9594</c:v>
                </c:pt>
                <c:pt idx="1008">
                  <c:v>9600</c:v>
                </c:pt>
                <c:pt idx="1009">
                  <c:v>8906</c:v>
                </c:pt>
                <c:pt idx="1010">
                  <c:v>6588</c:v>
                </c:pt>
                <c:pt idx="1011">
                  <c:v>-6391</c:v>
                </c:pt>
                <c:pt idx="1012">
                  <c:v>3522</c:v>
                </c:pt>
                <c:pt idx="1013">
                  <c:v>3081</c:v>
                </c:pt>
                <c:pt idx="1014">
                  <c:v>2602</c:v>
                </c:pt>
                <c:pt idx="1015">
                  <c:v>2059</c:v>
                </c:pt>
                <c:pt idx="1016">
                  <c:v>1733</c:v>
                </c:pt>
                <c:pt idx="1017">
                  <c:v>1398</c:v>
                </c:pt>
                <c:pt idx="1018" formatCode="General">
                  <c:v>0.76100000000000001</c:v>
                </c:pt>
                <c:pt idx="1019" formatCode="General">
                  <c:v>0.40799999999999997</c:v>
                </c:pt>
                <c:pt idx="1020" formatCode="General">
                  <c:v>1.4999999999999999E-2</c:v>
                </c:pt>
                <c:pt idx="1021" formatCode="General">
                  <c:v>0.38</c:v>
                </c:pt>
                <c:pt idx="1022" formatCode="General">
                  <c:v>0.77600000000000002</c:v>
                </c:pt>
                <c:pt idx="1023">
                  <c:v>-1171</c:v>
                </c:pt>
                <c:pt idx="1024">
                  <c:v>-1563</c:v>
                </c:pt>
                <c:pt idx="1025">
                  <c:v>-1951</c:v>
                </c:pt>
                <c:pt idx="1026">
                  <c:v>-2333</c:v>
                </c:pt>
                <c:pt idx="1027">
                  <c:v>-2713</c:v>
                </c:pt>
                <c:pt idx="1028">
                  <c:v>-2994</c:v>
                </c:pt>
                <c:pt idx="1029">
                  <c:v>-3606</c:v>
                </c:pt>
                <c:pt idx="1030">
                  <c:v>-3923</c:v>
                </c:pt>
                <c:pt idx="1031">
                  <c:v>-4239</c:v>
                </c:pt>
                <c:pt idx="1032">
                  <c:v>-4537</c:v>
                </c:pt>
                <c:pt idx="1033">
                  <c:v>-4817</c:v>
                </c:pt>
                <c:pt idx="1034">
                  <c:v>-5077</c:v>
                </c:pt>
                <c:pt idx="1035">
                  <c:v>-5295</c:v>
                </c:pt>
                <c:pt idx="1036">
                  <c:v>-5631</c:v>
                </c:pt>
                <c:pt idx="1037">
                  <c:v>-5911</c:v>
                </c:pt>
                <c:pt idx="1038">
                  <c:v>-6044</c:v>
                </c:pt>
                <c:pt idx="1039">
                  <c:v>-6163</c:v>
                </c:pt>
                <c:pt idx="1040">
                  <c:v>-6257</c:v>
                </c:pt>
                <c:pt idx="1041">
                  <c:v>-6324</c:v>
                </c:pt>
                <c:pt idx="1042">
                  <c:v>-6379</c:v>
                </c:pt>
                <c:pt idx="1043">
                  <c:v>-6380</c:v>
                </c:pt>
                <c:pt idx="1044">
                  <c:v>4677</c:v>
                </c:pt>
                <c:pt idx="1045">
                  <c:v>4677</c:v>
                </c:pt>
                <c:pt idx="1046">
                  <c:v>7287</c:v>
                </c:pt>
                <c:pt idx="1047">
                  <c:v>-7288</c:v>
                </c:pt>
                <c:pt idx="1048">
                  <c:v>-7286</c:v>
                </c:pt>
                <c:pt idx="1049">
                  <c:v>-7271</c:v>
                </c:pt>
                <c:pt idx="1050">
                  <c:v>-7219</c:v>
                </c:pt>
                <c:pt idx="1051">
                  <c:v>-7135</c:v>
                </c:pt>
                <c:pt idx="1052">
                  <c:v>-7017</c:v>
                </c:pt>
                <c:pt idx="1053">
                  <c:v>-6863</c:v>
                </c:pt>
                <c:pt idx="1054">
                  <c:v>-6584</c:v>
                </c:pt>
                <c:pt idx="1055">
                  <c:v>-6363</c:v>
                </c:pt>
                <c:pt idx="1056">
                  <c:v>-5939</c:v>
                </c:pt>
                <c:pt idx="1057">
                  <c:v>-5653</c:v>
                </c:pt>
                <c:pt idx="1058">
                  <c:v>-5326</c:v>
                </c:pt>
                <c:pt idx="1059">
                  <c:v>-4974</c:v>
                </c:pt>
                <c:pt idx="1060">
                  <c:v>-4599</c:v>
                </c:pt>
                <c:pt idx="1061">
                  <c:v>-4202</c:v>
                </c:pt>
                <c:pt idx="1062">
                  <c:v>-3786</c:v>
                </c:pt>
                <c:pt idx="1063">
                  <c:v>-3353</c:v>
                </c:pt>
                <c:pt idx="1064">
                  <c:v>-2903</c:v>
                </c:pt>
                <c:pt idx="1065">
                  <c:v>-2440</c:v>
                </c:pt>
                <c:pt idx="1066">
                  <c:v>-1988</c:v>
                </c:pt>
                <c:pt idx="1067">
                  <c:v>-1215</c:v>
                </c:pt>
                <c:pt idx="1068" formatCode="General">
                  <c:v>0.745</c:v>
                </c:pt>
                <c:pt idx="1069" formatCode="General">
                  <c:v>0.249</c:v>
                </c:pt>
                <c:pt idx="1070" formatCode="General">
                  <c:v>0.249</c:v>
                </c:pt>
                <c:pt idx="1071" formatCode="General">
                  <c:v>0.745</c:v>
                </c:pt>
                <c:pt idx="1072">
                  <c:v>1238</c:v>
                </c:pt>
                <c:pt idx="1073">
                  <c:v>1725</c:v>
                </c:pt>
                <c:pt idx="1074">
                  <c:v>2529</c:v>
                </c:pt>
                <c:pt idx="1075">
                  <c:v>2898</c:v>
                </c:pt>
                <c:pt idx="1076">
                  <c:v>3332</c:v>
                </c:pt>
                <c:pt idx="1077">
                  <c:v>3996</c:v>
                </c:pt>
                <c:pt idx="1078">
                  <c:v>4598</c:v>
                </c:pt>
                <c:pt idx="1079">
                  <c:v>5151</c:v>
                </c:pt>
                <c:pt idx="1080">
                  <c:v>5651</c:v>
                </c:pt>
                <c:pt idx="1081">
                  <c:v>6092</c:v>
                </c:pt>
                <c:pt idx="1082">
                  <c:v>6468</c:v>
                </c:pt>
                <c:pt idx="1083">
                  <c:v>6777</c:v>
                </c:pt>
                <c:pt idx="1084">
                  <c:v>7015</c:v>
                </c:pt>
                <c:pt idx="1085">
                  <c:v>7184</c:v>
                </c:pt>
                <c:pt idx="1086">
                  <c:v>7249</c:v>
                </c:pt>
                <c:pt idx="1087">
                  <c:v>7283</c:v>
                </c:pt>
                <c:pt idx="1088">
                  <c:v>7287</c:v>
                </c:pt>
                <c:pt idx="1089">
                  <c:v>8584</c:v>
                </c:pt>
                <c:pt idx="1090">
                  <c:v>-8584</c:v>
                </c:pt>
                <c:pt idx="1091">
                  <c:v>-8582</c:v>
                </c:pt>
                <c:pt idx="1092">
                  <c:v>-8564</c:v>
                </c:pt>
                <c:pt idx="1093">
                  <c:v>-8504</c:v>
                </c:pt>
                <c:pt idx="1094">
                  <c:v>-8404</c:v>
                </c:pt>
                <c:pt idx="1095">
                  <c:v>-8265</c:v>
                </c:pt>
                <c:pt idx="1096">
                  <c:v>-8086</c:v>
                </c:pt>
                <c:pt idx="1097">
                  <c:v>-7753</c:v>
                </c:pt>
                <c:pt idx="1098">
                  <c:v>-7488</c:v>
                </c:pt>
                <c:pt idx="1099">
                  <c:v>-7005</c:v>
                </c:pt>
                <c:pt idx="1100">
                  <c:v>-6658</c:v>
                </c:pt>
                <c:pt idx="1101">
                  <c:v>-6273</c:v>
                </c:pt>
                <c:pt idx="1102">
                  <c:v>-5859</c:v>
                </c:pt>
                <c:pt idx="1103">
                  <c:v>-5417</c:v>
                </c:pt>
                <c:pt idx="1104">
                  <c:v>-4950</c:v>
                </c:pt>
                <c:pt idx="1105">
                  <c:v>-4460</c:v>
                </c:pt>
                <c:pt idx="1106">
                  <c:v>-3949</c:v>
                </c:pt>
                <c:pt idx="1107">
                  <c:v>-3420</c:v>
                </c:pt>
                <c:pt idx="1108">
                  <c:v>-2874</c:v>
                </c:pt>
                <c:pt idx="1109">
                  <c:v>-2327</c:v>
                </c:pt>
                <c:pt idx="1110">
                  <c:v>-1446</c:v>
                </c:pt>
                <c:pt idx="1111" formatCode="General">
                  <c:v>0.878</c:v>
                </c:pt>
                <c:pt idx="1112" formatCode="General">
                  <c:v>0.29299999999999998</c:v>
                </c:pt>
                <c:pt idx="1113" formatCode="General">
                  <c:v>0.29299999999999998</c:v>
                </c:pt>
                <c:pt idx="1114" formatCode="General">
                  <c:v>0.878</c:v>
                </c:pt>
                <c:pt idx="1115">
                  <c:v>1458</c:v>
                </c:pt>
                <c:pt idx="1116">
                  <c:v>2032</c:v>
                </c:pt>
                <c:pt idx="1117">
                  <c:v>2602</c:v>
                </c:pt>
                <c:pt idx="1118">
                  <c:v>2982</c:v>
                </c:pt>
                <c:pt idx="1119">
                  <c:v>3417</c:v>
                </c:pt>
                <c:pt idx="1120">
                  <c:v>3938</c:v>
                </c:pt>
                <c:pt idx="1121">
                  <c:v>4707</c:v>
                </c:pt>
                <c:pt idx="1122">
                  <c:v>5416</c:v>
                </c:pt>
                <c:pt idx="1123">
                  <c:v>6069</c:v>
                </c:pt>
                <c:pt idx="1124">
                  <c:v>6658</c:v>
                </c:pt>
                <c:pt idx="1125">
                  <c:v>7177</c:v>
                </c:pt>
                <c:pt idx="1126">
                  <c:v>7620</c:v>
                </c:pt>
                <c:pt idx="1127">
                  <c:v>7984</c:v>
                </c:pt>
                <c:pt idx="1128">
                  <c:v>8264</c:v>
                </c:pt>
                <c:pt idx="1129">
                  <c:v>8460</c:v>
                </c:pt>
                <c:pt idx="1130">
                  <c:v>8539</c:v>
                </c:pt>
                <c:pt idx="1131">
                  <c:v>8579</c:v>
                </c:pt>
                <c:pt idx="1132">
                  <c:v>8584</c:v>
                </c:pt>
                <c:pt idx="1133">
                  <c:v>9600</c:v>
                </c:pt>
                <c:pt idx="1134">
                  <c:v>-9600</c:v>
                </c:pt>
                <c:pt idx="1135">
                  <c:v>-9598</c:v>
                </c:pt>
                <c:pt idx="1136">
                  <c:v>-9577</c:v>
                </c:pt>
                <c:pt idx="1137">
                  <c:v>-9510</c:v>
                </c:pt>
                <c:pt idx="1138">
                  <c:v>-9399</c:v>
                </c:pt>
                <c:pt idx="1139">
                  <c:v>-9244</c:v>
                </c:pt>
                <c:pt idx="1140">
                  <c:v>-9045</c:v>
                </c:pt>
                <c:pt idx="1141">
                  <c:v>-8670</c:v>
                </c:pt>
                <c:pt idx="1142">
                  <c:v>-8369</c:v>
                </c:pt>
                <c:pt idx="1143">
                  <c:v>-7841</c:v>
                </c:pt>
                <c:pt idx="1144">
                  <c:v>-7447</c:v>
                </c:pt>
                <c:pt idx="1145">
                  <c:v>-7016</c:v>
                </c:pt>
                <c:pt idx="1146">
                  <c:v>-6552</c:v>
                </c:pt>
                <c:pt idx="1147">
                  <c:v>-6058</c:v>
                </c:pt>
                <c:pt idx="1148">
                  <c:v>-5536</c:v>
                </c:pt>
                <c:pt idx="1149">
                  <c:v>-4988</c:v>
                </c:pt>
                <c:pt idx="1150">
                  <c:v>-4417</c:v>
                </c:pt>
                <c:pt idx="1151">
                  <c:v>-3825</c:v>
                </c:pt>
                <c:pt idx="1152">
                  <c:v>-3215</c:v>
                </c:pt>
                <c:pt idx="1153">
                  <c:v>-2593</c:v>
                </c:pt>
                <c:pt idx="1154">
                  <c:v>-1628</c:v>
                </c:pt>
                <c:pt idx="1155" formatCode="General">
                  <c:v>0.98199999999999998</c:v>
                </c:pt>
                <c:pt idx="1156" formatCode="General">
                  <c:v>0.32800000000000001</c:v>
                </c:pt>
                <c:pt idx="1157" formatCode="General">
                  <c:v>0.32800000000000001</c:v>
                </c:pt>
                <c:pt idx="1158" formatCode="General">
                  <c:v>0.98199999999999998</c:v>
                </c:pt>
                <c:pt idx="1159">
                  <c:v>1631</c:v>
                </c:pt>
                <c:pt idx="1160">
                  <c:v>2273</c:v>
                </c:pt>
                <c:pt idx="1161">
                  <c:v>2905</c:v>
                </c:pt>
                <c:pt idx="1162">
                  <c:v>3337</c:v>
                </c:pt>
                <c:pt idx="1163">
                  <c:v>3824</c:v>
                </c:pt>
                <c:pt idx="1164">
                  <c:v>4413</c:v>
                </c:pt>
                <c:pt idx="1165">
                  <c:v>5265</c:v>
                </c:pt>
                <c:pt idx="1166">
                  <c:v>6058</c:v>
                </c:pt>
                <c:pt idx="1167">
                  <c:v>6788</c:v>
                </c:pt>
                <c:pt idx="1168">
                  <c:v>7446</c:v>
                </c:pt>
                <c:pt idx="1169">
                  <c:v>8027</c:v>
                </c:pt>
                <c:pt idx="1170">
                  <c:v>8523</c:v>
                </c:pt>
                <c:pt idx="1171">
                  <c:v>8930</c:v>
                </c:pt>
                <c:pt idx="1172">
                  <c:v>9244</c:v>
                </c:pt>
                <c:pt idx="1173">
                  <c:v>9461</c:v>
                </c:pt>
                <c:pt idx="1174">
                  <c:v>9549</c:v>
                </c:pt>
                <c:pt idx="1175">
                  <c:v>9594</c:v>
                </c:pt>
                <c:pt idx="1176">
                  <c:v>9600</c:v>
                </c:pt>
                <c:pt idx="1177">
                  <c:v>8906</c:v>
                </c:pt>
                <c:pt idx="1178">
                  <c:v>6588</c:v>
                </c:pt>
                <c:pt idx="1179">
                  <c:v>-6391</c:v>
                </c:pt>
                <c:pt idx="1180">
                  <c:v>3522</c:v>
                </c:pt>
                <c:pt idx="1181">
                  <c:v>3081</c:v>
                </c:pt>
                <c:pt idx="1182">
                  <c:v>2602</c:v>
                </c:pt>
                <c:pt idx="1183">
                  <c:v>2059</c:v>
                </c:pt>
                <c:pt idx="1184">
                  <c:v>1457</c:v>
                </c:pt>
                <c:pt idx="1185" formatCode="General">
                  <c:v>0.77800000000000002</c:v>
                </c:pt>
                <c:pt idx="1186" formatCode="General">
                  <c:v>0.40799999999999997</c:v>
                </c:pt>
                <c:pt idx="1187" formatCode="General">
                  <c:v>1.4999999999999999E-2</c:v>
                </c:pt>
                <c:pt idx="1188" formatCode="General">
                  <c:v>0.38</c:v>
                </c:pt>
                <c:pt idx="1189" formatCode="General">
                  <c:v>0.77600000000000002</c:v>
                </c:pt>
                <c:pt idx="1190">
                  <c:v>-1171</c:v>
                </c:pt>
                <c:pt idx="1191">
                  <c:v>-1528</c:v>
                </c:pt>
                <c:pt idx="1192">
                  <c:v>-2177</c:v>
                </c:pt>
                <c:pt idx="1193">
                  <c:v>-2520</c:v>
                </c:pt>
                <c:pt idx="1194">
                  <c:v>-2889</c:v>
                </c:pt>
                <c:pt idx="1195">
                  <c:v>-3246</c:v>
                </c:pt>
                <c:pt idx="1196">
                  <c:v>-3592</c:v>
                </c:pt>
                <c:pt idx="1197">
                  <c:v>-3923</c:v>
                </c:pt>
                <c:pt idx="1198">
                  <c:v>-4239</c:v>
                </c:pt>
                <c:pt idx="1199">
                  <c:v>-4537</c:v>
                </c:pt>
                <c:pt idx="1200">
                  <c:v>-4817</c:v>
                </c:pt>
                <c:pt idx="1201">
                  <c:v>-5077</c:v>
                </c:pt>
                <c:pt idx="1202">
                  <c:v>-5295</c:v>
                </c:pt>
                <c:pt idx="1203">
                  <c:v>-5651</c:v>
                </c:pt>
                <c:pt idx="1204">
                  <c:v>-5820</c:v>
                </c:pt>
                <c:pt idx="1205">
                  <c:v>-5936</c:v>
                </c:pt>
                <c:pt idx="1206">
                  <c:v>-6168</c:v>
                </c:pt>
                <c:pt idx="1207">
                  <c:v>-6257</c:v>
                </c:pt>
                <c:pt idx="1208">
                  <c:v>-6324</c:v>
                </c:pt>
                <c:pt idx="1209">
                  <c:v>-6379</c:v>
                </c:pt>
                <c:pt idx="1210">
                  <c:v>-6380</c:v>
                </c:pt>
                <c:pt idx="1211">
                  <c:v>4677</c:v>
                </c:pt>
                <c:pt idx="1212">
                  <c:v>4677</c:v>
                </c:pt>
                <c:pt idx="1213">
                  <c:v>7287</c:v>
                </c:pt>
                <c:pt idx="1214">
                  <c:v>-7288</c:v>
                </c:pt>
                <c:pt idx="1215">
                  <c:v>-7286</c:v>
                </c:pt>
                <c:pt idx="1216">
                  <c:v>-7271</c:v>
                </c:pt>
                <c:pt idx="1217">
                  <c:v>-7219</c:v>
                </c:pt>
                <c:pt idx="1218">
                  <c:v>-7135</c:v>
                </c:pt>
                <c:pt idx="1219">
                  <c:v>-7017</c:v>
                </c:pt>
                <c:pt idx="1220">
                  <c:v>-6864</c:v>
                </c:pt>
                <c:pt idx="1221">
                  <c:v>-6584</c:v>
                </c:pt>
                <c:pt idx="1222">
                  <c:v>-6363</c:v>
                </c:pt>
                <c:pt idx="1223">
                  <c:v>-5939</c:v>
                </c:pt>
                <c:pt idx="1224">
                  <c:v>-5653</c:v>
                </c:pt>
                <c:pt idx="1225">
                  <c:v>-5326</c:v>
                </c:pt>
                <c:pt idx="1226">
                  <c:v>-4974</c:v>
                </c:pt>
                <c:pt idx="1227">
                  <c:v>-4599</c:v>
                </c:pt>
                <c:pt idx="1228">
                  <c:v>-4202</c:v>
                </c:pt>
                <c:pt idx="1229">
                  <c:v>-3786</c:v>
                </c:pt>
                <c:pt idx="1230">
                  <c:v>-3345</c:v>
                </c:pt>
                <c:pt idx="1231">
                  <c:v>-3028</c:v>
                </c:pt>
                <c:pt idx="1232">
                  <c:v>-2680</c:v>
                </c:pt>
                <c:pt idx="1233">
                  <c:v>-2204</c:v>
                </c:pt>
                <c:pt idx="1234">
                  <c:v>-1725</c:v>
                </c:pt>
                <c:pt idx="1235">
                  <c:v>-1238</c:v>
                </c:pt>
                <c:pt idx="1236" formatCode="General">
                  <c:v>0.745</c:v>
                </c:pt>
                <c:pt idx="1237" formatCode="General">
                  <c:v>0.249</c:v>
                </c:pt>
                <c:pt idx="1238" formatCode="General">
                  <c:v>0.249</c:v>
                </c:pt>
                <c:pt idx="1239" formatCode="General">
                  <c:v>0.745</c:v>
                </c:pt>
                <c:pt idx="1240">
                  <c:v>1238</c:v>
                </c:pt>
                <c:pt idx="1241">
                  <c:v>1703</c:v>
                </c:pt>
                <c:pt idx="1242">
                  <c:v>2462</c:v>
                </c:pt>
                <c:pt idx="1243">
                  <c:v>2903</c:v>
                </c:pt>
                <c:pt idx="1244">
                  <c:v>3332</c:v>
                </c:pt>
                <c:pt idx="1245">
                  <c:v>3996</c:v>
                </c:pt>
                <c:pt idx="1246">
                  <c:v>4598</c:v>
                </c:pt>
                <c:pt idx="1247">
                  <c:v>5151</c:v>
                </c:pt>
                <c:pt idx="1248">
                  <c:v>5651</c:v>
                </c:pt>
                <c:pt idx="1249">
                  <c:v>6092</c:v>
                </c:pt>
                <c:pt idx="1250">
                  <c:v>6468</c:v>
                </c:pt>
                <c:pt idx="1251">
                  <c:v>6777</c:v>
                </c:pt>
                <c:pt idx="1252">
                  <c:v>7022</c:v>
                </c:pt>
                <c:pt idx="1253">
                  <c:v>7137</c:v>
                </c:pt>
                <c:pt idx="1254">
                  <c:v>7199</c:v>
                </c:pt>
                <c:pt idx="1255">
                  <c:v>7249</c:v>
                </c:pt>
                <c:pt idx="1256">
                  <c:v>7283</c:v>
                </c:pt>
                <c:pt idx="1257">
                  <c:v>7287</c:v>
                </c:pt>
                <c:pt idx="1258">
                  <c:v>8584</c:v>
                </c:pt>
                <c:pt idx="1259">
                  <c:v>-8584</c:v>
                </c:pt>
                <c:pt idx="1260">
                  <c:v>-8582</c:v>
                </c:pt>
                <c:pt idx="1261">
                  <c:v>-8564</c:v>
                </c:pt>
                <c:pt idx="1262">
                  <c:v>-8504</c:v>
                </c:pt>
                <c:pt idx="1263">
                  <c:v>-8404</c:v>
                </c:pt>
                <c:pt idx="1264">
                  <c:v>-8265</c:v>
                </c:pt>
                <c:pt idx="1265">
                  <c:v>-8087</c:v>
                </c:pt>
                <c:pt idx="1266">
                  <c:v>-7753</c:v>
                </c:pt>
                <c:pt idx="1267">
                  <c:v>-7488</c:v>
                </c:pt>
                <c:pt idx="1268">
                  <c:v>-7005</c:v>
                </c:pt>
                <c:pt idx="1269">
                  <c:v>-6658</c:v>
                </c:pt>
                <c:pt idx="1270">
                  <c:v>-6273</c:v>
                </c:pt>
                <c:pt idx="1271">
                  <c:v>-5859</c:v>
                </c:pt>
                <c:pt idx="1272">
                  <c:v>-5417</c:v>
                </c:pt>
                <c:pt idx="1273">
                  <c:v>-4950</c:v>
                </c:pt>
                <c:pt idx="1274">
                  <c:v>-4460</c:v>
                </c:pt>
                <c:pt idx="1275">
                  <c:v>-3945</c:v>
                </c:pt>
                <c:pt idx="1276">
                  <c:v>-3565</c:v>
                </c:pt>
                <c:pt idx="1277">
                  <c:v>-3152</c:v>
                </c:pt>
                <c:pt idx="1278">
                  <c:v>-2597</c:v>
                </c:pt>
                <c:pt idx="1279">
                  <c:v>-2032</c:v>
                </c:pt>
                <c:pt idx="1280">
                  <c:v>-1458</c:v>
                </c:pt>
                <c:pt idx="1281" formatCode="General">
                  <c:v>0.878</c:v>
                </c:pt>
                <c:pt idx="1282" formatCode="General">
                  <c:v>0.29299999999999998</c:v>
                </c:pt>
                <c:pt idx="1283" formatCode="General">
                  <c:v>0.29299999999999998</c:v>
                </c:pt>
                <c:pt idx="1284" formatCode="General">
                  <c:v>0.878</c:v>
                </c:pt>
                <c:pt idx="1285">
                  <c:v>1458</c:v>
                </c:pt>
                <c:pt idx="1286">
                  <c:v>2020</c:v>
                </c:pt>
                <c:pt idx="1287">
                  <c:v>2886</c:v>
                </c:pt>
                <c:pt idx="1288">
                  <c:v>3420</c:v>
                </c:pt>
                <c:pt idx="1289">
                  <c:v>3938</c:v>
                </c:pt>
                <c:pt idx="1290">
                  <c:v>4707</c:v>
                </c:pt>
                <c:pt idx="1291">
                  <c:v>5416</c:v>
                </c:pt>
                <c:pt idx="1292">
                  <c:v>6069</c:v>
                </c:pt>
                <c:pt idx="1293">
                  <c:v>6658</c:v>
                </c:pt>
                <c:pt idx="1294">
                  <c:v>7177</c:v>
                </c:pt>
                <c:pt idx="1295">
                  <c:v>7620</c:v>
                </c:pt>
                <c:pt idx="1296">
                  <c:v>7984</c:v>
                </c:pt>
                <c:pt idx="1297">
                  <c:v>8268</c:v>
                </c:pt>
                <c:pt idx="1298">
                  <c:v>8405</c:v>
                </c:pt>
                <c:pt idx="1299">
                  <c:v>8479</c:v>
                </c:pt>
                <c:pt idx="1300">
                  <c:v>8538</c:v>
                </c:pt>
                <c:pt idx="1301">
                  <c:v>8579</c:v>
                </c:pt>
                <c:pt idx="1302">
                  <c:v>8584</c:v>
                </c:pt>
                <c:pt idx="1303">
                  <c:v>9600</c:v>
                </c:pt>
                <c:pt idx="1304">
                  <c:v>-9600</c:v>
                </c:pt>
                <c:pt idx="1305">
                  <c:v>-9597</c:v>
                </c:pt>
                <c:pt idx="1306">
                  <c:v>-9577</c:v>
                </c:pt>
                <c:pt idx="1307">
                  <c:v>-9510</c:v>
                </c:pt>
                <c:pt idx="1308">
                  <c:v>-9399</c:v>
                </c:pt>
                <c:pt idx="1309">
                  <c:v>-9244</c:v>
                </c:pt>
                <c:pt idx="1310">
                  <c:v>-9045</c:v>
                </c:pt>
                <c:pt idx="1311">
                  <c:v>-8670</c:v>
                </c:pt>
                <c:pt idx="1312">
                  <c:v>-8369</c:v>
                </c:pt>
                <c:pt idx="1313">
                  <c:v>-7841</c:v>
                </c:pt>
                <c:pt idx="1314">
                  <c:v>-7447</c:v>
                </c:pt>
                <c:pt idx="1315">
                  <c:v>-7016</c:v>
                </c:pt>
                <c:pt idx="1316">
                  <c:v>-6552</c:v>
                </c:pt>
                <c:pt idx="1317">
                  <c:v>-6058</c:v>
                </c:pt>
                <c:pt idx="1318">
                  <c:v>-5536</c:v>
                </c:pt>
                <c:pt idx="1319">
                  <c:v>-4988</c:v>
                </c:pt>
                <c:pt idx="1320">
                  <c:v>-4415</c:v>
                </c:pt>
                <c:pt idx="1321">
                  <c:v>-3986</c:v>
                </c:pt>
                <c:pt idx="1322">
                  <c:v>-3523</c:v>
                </c:pt>
                <c:pt idx="1323">
                  <c:v>-2904</c:v>
                </c:pt>
                <c:pt idx="1324">
                  <c:v>-2273</c:v>
                </c:pt>
                <c:pt idx="1325">
                  <c:v>-1631</c:v>
                </c:pt>
                <c:pt idx="1326" formatCode="General">
                  <c:v>0.98199999999999998</c:v>
                </c:pt>
                <c:pt idx="1327" formatCode="General">
                  <c:v>0.32800000000000001</c:v>
                </c:pt>
                <c:pt idx="1328" formatCode="General">
                  <c:v>0.32800000000000001</c:v>
                </c:pt>
                <c:pt idx="1329" formatCode="General">
                  <c:v>0.98199999999999998</c:v>
                </c:pt>
                <c:pt idx="1330">
                  <c:v>1631</c:v>
                </c:pt>
                <c:pt idx="1331">
                  <c:v>2270</c:v>
                </c:pt>
                <c:pt idx="1332">
                  <c:v>3218</c:v>
                </c:pt>
                <c:pt idx="1333">
                  <c:v>3825</c:v>
                </c:pt>
                <c:pt idx="1334">
                  <c:v>4413</c:v>
                </c:pt>
                <c:pt idx="1335">
                  <c:v>5265</c:v>
                </c:pt>
                <c:pt idx="1336">
                  <c:v>6058</c:v>
                </c:pt>
                <c:pt idx="1337">
                  <c:v>6788</c:v>
                </c:pt>
                <c:pt idx="1338">
                  <c:v>7446</c:v>
                </c:pt>
                <c:pt idx="1339">
                  <c:v>8027</c:v>
                </c:pt>
                <c:pt idx="1340">
                  <c:v>8523</c:v>
                </c:pt>
                <c:pt idx="1341">
                  <c:v>8930</c:v>
                </c:pt>
                <c:pt idx="1342">
                  <c:v>9245</c:v>
                </c:pt>
                <c:pt idx="1343">
                  <c:v>9399</c:v>
                </c:pt>
                <c:pt idx="1344">
                  <c:v>9483</c:v>
                </c:pt>
                <c:pt idx="1345">
                  <c:v>9549</c:v>
                </c:pt>
                <c:pt idx="1346">
                  <c:v>9594</c:v>
                </c:pt>
                <c:pt idx="1347">
                  <c:v>9600</c:v>
                </c:pt>
                <c:pt idx="1348">
                  <c:v>8906</c:v>
                </c:pt>
                <c:pt idx="1349">
                  <c:v>6588</c:v>
                </c:pt>
                <c:pt idx="1350">
                  <c:v>-6391</c:v>
                </c:pt>
                <c:pt idx="1351">
                  <c:v>3522</c:v>
                </c:pt>
                <c:pt idx="1352">
                  <c:v>3081</c:v>
                </c:pt>
                <c:pt idx="1353">
                  <c:v>2602</c:v>
                </c:pt>
                <c:pt idx="1354">
                  <c:v>2059</c:v>
                </c:pt>
                <c:pt idx="1355">
                  <c:v>1733</c:v>
                </c:pt>
                <c:pt idx="1356">
                  <c:v>1398</c:v>
                </c:pt>
                <c:pt idx="1357" formatCode="General">
                  <c:v>0.76100000000000001</c:v>
                </c:pt>
                <c:pt idx="1358" formatCode="General">
                  <c:v>0.40799999999999997</c:v>
                </c:pt>
                <c:pt idx="1359" formatCode="General">
                  <c:v>1.4999999999999999E-2</c:v>
                </c:pt>
                <c:pt idx="1360" formatCode="General">
                  <c:v>0.38</c:v>
                </c:pt>
                <c:pt idx="1361" formatCode="General">
                  <c:v>0.77600000000000002</c:v>
                </c:pt>
                <c:pt idx="1362">
                  <c:v>-1171</c:v>
                </c:pt>
                <c:pt idx="1363">
                  <c:v>-1563</c:v>
                </c:pt>
                <c:pt idx="1364">
                  <c:v>-1951</c:v>
                </c:pt>
                <c:pt idx="1365">
                  <c:v>-2333</c:v>
                </c:pt>
                <c:pt idx="1366">
                  <c:v>-2989</c:v>
                </c:pt>
                <c:pt idx="1367">
                  <c:v>-3592</c:v>
                </c:pt>
                <c:pt idx="1368">
                  <c:v>-3923</c:v>
                </c:pt>
                <c:pt idx="1369">
                  <c:v>-4239</c:v>
                </c:pt>
                <c:pt idx="1370">
                  <c:v>-4537</c:v>
                </c:pt>
                <c:pt idx="1371">
                  <c:v>-4817</c:v>
                </c:pt>
                <c:pt idx="1372">
                  <c:v>-5077</c:v>
                </c:pt>
                <c:pt idx="1373">
                  <c:v>-5295</c:v>
                </c:pt>
                <c:pt idx="1374">
                  <c:v>-5651</c:v>
                </c:pt>
                <c:pt idx="1375">
                  <c:v>-5821</c:v>
                </c:pt>
                <c:pt idx="1376">
                  <c:v>-6040</c:v>
                </c:pt>
                <c:pt idx="1377">
                  <c:v>-6163</c:v>
                </c:pt>
                <c:pt idx="1378">
                  <c:v>-6257</c:v>
                </c:pt>
                <c:pt idx="1379">
                  <c:v>-6324</c:v>
                </c:pt>
                <c:pt idx="1380">
                  <c:v>-6378</c:v>
                </c:pt>
                <c:pt idx="1381">
                  <c:v>-6380</c:v>
                </c:pt>
                <c:pt idx="1382">
                  <c:v>4677</c:v>
                </c:pt>
                <c:pt idx="1383">
                  <c:v>4677</c:v>
                </c:pt>
                <c:pt idx="1384">
                  <c:v>7287</c:v>
                </c:pt>
                <c:pt idx="1385">
                  <c:v>-7288</c:v>
                </c:pt>
                <c:pt idx="1386">
                  <c:v>-7286</c:v>
                </c:pt>
                <c:pt idx="1387">
                  <c:v>-7271</c:v>
                </c:pt>
                <c:pt idx="1388">
                  <c:v>-7219</c:v>
                </c:pt>
                <c:pt idx="1389">
                  <c:v>-7135</c:v>
                </c:pt>
                <c:pt idx="1390">
                  <c:v>-7017</c:v>
                </c:pt>
                <c:pt idx="1391">
                  <c:v>-6864</c:v>
                </c:pt>
                <c:pt idx="1392">
                  <c:v>-6585</c:v>
                </c:pt>
                <c:pt idx="1393">
                  <c:v>-6363</c:v>
                </c:pt>
                <c:pt idx="1394">
                  <c:v>-5939</c:v>
                </c:pt>
                <c:pt idx="1395">
                  <c:v>-5653</c:v>
                </c:pt>
                <c:pt idx="1396">
                  <c:v>-5326</c:v>
                </c:pt>
                <c:pt idx="1397">
                  <c:v>-4974</c:v>
                </c:pt>
                <c:pt idx="1398">
                  <c:v>-4599</c:v>
                </c:pt>
                <c:pt idx="1399">
                  <c:v>-4202</c:v>
                </c:pt>
                <c:pt idx="1400">
                  <c:v>-3786</c:v>
                </c:pt>
                <c:pt idx="1401">
                  <c:v>-3353</c:v>
                </c:pt>
                <c:pt idx="1402">
                  <c:v>-2903</c:v>
                </c:pt>
                <c:pt idx="1403">
                  <c:v>-2440</c:v>
                </c:pt>
                <c:pt idx="1404">
                  <c:v>-1988</c:v>
                </c:pt>
                <c:pt idx="1405">
                  <c:v>-1215</c:v>
                </c:pt>
                <c:pt idx="1406" formatCode="General">
                  <c:v>0.745</c:v>
                </c:pt>
                <c:pt idx="1407" formatCode="General">
                  <c:v>0.249</c:v>
                </c:pt>
                <c:pt idx="1408" formatCode="General">
                  <c:v>0.249</c:v>
                </c:pt>
                <c:pt idx="1409" formatCode="General">
                  <c:v>0.745</c:v>
                </c:pt>
                <c:pt idx="1410">
                  <c:v>1238</c:v>
                </c:pt>
                <c:pt idx="1411">
                  <c:v>1703</c:v>
                </c:pt>
                <c:pt idx="1412">
                  <c:v>2462</c:v>
                </c:pt>
                <c:pt idx="1413">
                  <c:v>2903</c:v>
                </c:pt>
                <c:pt idx="1414">
                  <c:v>3332</c:v>
                </c:pt>
                <c:pt idx="1415">
                  <c:v>3996</c:v>
                </c:pt>
                <c:pt idx="1416">
                  <c:v>4598</c:v>
                </c:pt>
                <c:pt idx="1417">
                  <c:v>5151</c:v>
                </c:pt>
                <c:pt idx="1418">
                  <c:v>5651</c:v>
                </c:pt>
                <c:pt idx="1419">
                  <c:v>6092</c:v>
                </c:pt>
                <c:pt idx="1420">
                  <c:v>6468</c:v>
                </c:pt>
                <c:pt idx="1421">
                  <c:v>6777</c:v>
                </c:pt>
                <c:pt idx="1422">
                  <c:v>7022</c:v>
                </c:pt>
                <c:pt idx="1423">
                  <c:v>7136</c:v>
                </c:pt>
                <c:pt idx="1424">
                  <c:v>7202</c:v>
                </c:pt>
                <c:pt idx="1425">
                  <c:v>7248</c:v>
                </c:pt>
                <c:pt idx="1426">
                  <c:v>7283</c:v>
                </c:pt>
                <c:pt idx="1427">
                  <c:v>7287</c:v>
                </c:pt>
                <c:pt idx="1428">
                  <c:v>8584</c:v>
                </c:pt>
                <c:pt idx="1429">
                  <c:v>-8584</c:v>
                </c:pt>
                <c:pt idx="1430">
                  <c:v>-8581</c:v>
                </c:pt>
                <c:pt idx="1431">
                  <c:v>-8564</c:v>
                </c:pt>
                <c:pt idx="1432">
                  <c:v>-8504</c:v>
                </c:pt>
                <c:pt idx="1433">
                  <c:v>-8404</c:v>
                </c:pt>
                <c:pt idx="1434">
                  <c:v>-8265</c:v>
                </c:pt>
                <c:pt idx="1435">
                  <c:v>-8087</c:v>
                </c:pt>
                <c:pt idx="1436">
                  <c:v>-7754</c:v>
                </c:pt>
                <c:pt idx="1437">
                  <c:v>-7488</c:v>
                </c:pt>
                <c:pt idx="1438">
                  <c:v>-7005</c:v>
                </c:pt>
                <c:pt idx="1439">
                  <c:v>-6658</c:v>
                </c:pt>
                <c:pt idx="1440">
                  <c:v>-6273</c:v>
                </c:pt>
                <c:pt idx="1441">
                  <c:v>-5859</c:v>
                </c:pt>
                <c:pt idx="1442">
                  <c:v>-5417</c:v>
                </c:pt>
                <c:pt idx="1443">
                  <c:v>-4950</c:v>
                </c:pt>
                <c:pt idx="1444">
                  <c:v>-4460</c:v>
                </c:pt>
                <c:pt idx="1445">
                  <c:v>-3949</c:v>
                </c:pt>
                <c:pt idx="1446">
                  <c:v>-3420</c:v>
                </c:pt>
                <c:pt idx="1447">
                  <c:v>-2874</c:v>
                </c:pt>
                <c:pt idx="1448">
                  <c:v>-2327</c:v>
                </c:pt>
                <c:pt idx="1449">
                  <c:v>-1446</c:v>
                </c:pt>
                <c:pt idx="1450" formatCode="General">
                  <c:v>0.878</c:v>
                </c:pt>
                <c:pt idx="1451" formatCode="General">
                  <c:v>0.29299999999999998</c:v>
                </c:pt>
                <c:pt idx="1452" formatCode="General">
                  <c:v>0.29299999999999998</c:v>
                </c:pt>
                <c:pt idx="1453" formatCode="General">
                  <c:v>0.878</c:v>
                </c:pt>
                <c:pt idx="1454">
                  <c:v>1458</c:v>
                </c:pt>
                <c:pt idx="1455">
                  <c:v>2020</c:v>
                </c:pt>
                <c:pt idx="1456">
                  <c:v>2886</c:v>
                </c:pt>
                <c:pt idx="1457">
                  <c:v>3420</c:v>
                </c:pt>
                <c:pt idx="1458">
                  <c:v>3938</c:v>
                </c:pt>
                <c:pt idx="1459">
                  <c:v>4707</c:v>
                </c:pt>
                <c:pt idx="1460">
                  <c:v>5416</c:v>
                </c:pt>
                <c:pt idx="1461">
                  <c:v>6069</c:v>
                </c:pt>
                <c:pt idx="1462">
                  <c:v>6658</c:v>
                </c:pt>
                <c:pt idx="1463">
                  <c:v>7177</c:v>
                </c:pt>
                <c:pt idx="1464">
                  <c:v>7620</c:v>
                </c:pt>
                <c:pt idx="1465">
                  <c:v>7984</c:v>
                </c:pt>
                <c:pt idx="1466">
                  <c:v>8268</c:v>
                </c:pt>
                <c:pt idx="1467">
                  <c:v>8405</c:v>
                </c:pt>
                <c:pt idx="1468">
                  <c:v>8482</c:v>
                </c:pt>
                <c:pt idx="1469">
                  <c:v>8538</c:v>
                </c:pt>
                <c:pt idx="1470">
                  <c:v>8579</c:v>
                </c:pt>
                <c:pt idx="1471">
                  <c:v>8584</c:v>
                </c:pt>
                <c:pt idx="1472">
                  <c:v>9600</c:v>
                </c:pt>
                <c:pt idx="1473">
                  <c:v>-9600</c:v>
                </c:pt>
                <c:pt idx="1474">
                  <c:v>-9597</c:v>
                </c:pt>
                <c:pt idx="1475">
                  <c:v>-9578</c:v>
                </c:pt>
                <c:pt idx="1476">
                  <c:v>-9510</c:v>
                </c:pt>
                <c:pt idx="1477">
                  <c:v>-9399</c:v>
                </c:pt>
                <c:pt idx="1478">
                  <c:v>-9244</c:v>
                </c:pt>
                <c:pt idx="1479">
                  <c:v>-9045</c:v>
                </c:pt>
                <c:pt idx="1480">
                  <c:v>-8670</c:v>
                </c:pt>
                <c:pt idx="1481">
                  <c:v>-8369</c:v>
                </c:pt>
                <c:pt idx="1482">
                  <c:v>-7841</c:v>
                </c:pt>
                <c:pt idx="1483">
                  <c:v>-7447</c:v>
                </c:pt>
                <c:pt idx="1484">
                  <c:v>-7016</c:v>
                </c:pt>
                <c:pt idx="1485">
                  <c:v>-6552</c:v>
                </c:pt>
                <c:pt idx="1486">
                  <c:v>-6058</c:v>
                </c:pt>
                <c:pt idx="1487">
                  <c:v>-5536</c:v>
                </c:pt>
                <c:pt idx="1488">
                  <c:v>-4988</c:v>
                </c:pt>
                <c:pt idx="1489">
                  <c:v>-4417</c:v>
                </c:pt>
                <c:pt idx="1490">
                  <c:v>-3825</c:v>
                </c:pt>
                <c:pt idx="1491">
                  <c:v>-3215</c:v>
                </c:pt>
                <c:pt idx="1492">
                  <c:v>-2593</c:v>
                </c:pt>
                <c:pt idx="1493">
                  <c:v>-1628</c:v>
                </c:pt>
                <c:pt idx="1494" formatCode="General">
                  <c:v>0.98199999999999998</c:v>
                </c:pt>
                <c:pt idx="1495" formatCode="General">
                  <c:v>0.32800000000000001</c:v>
                </c:pt>
                <c:pt idx="1496" formatCode="General">
                  <c:v>0.32800000000000001</c:v>
                </c:pt>
                <c:pt idx="1497" formatCode="General">
                  <c:v>0.98199999999999998</c:v>
                </c:pt>
                <c:pt idx="1498">
                  <c:v>1631</c:v>
                </c:pt>
                <c:pt idx="1499">
                  <c:v>2270</c:v>
                </c:pt>
                <c:pt idx="1500">
                  <c:v>3218</c:v>
                </c:pt>
                <c:pt idx="1501">
                  <c:v>3825</c:v>
                </c:pt>
                <c:pt idx="1502">
                  <c:v>4413</c:v>
                </c:pt>
                <c:pt idx="1503">
                  <c:v>5265</c:v>
                </c:pt>
                <c:pt idx="1504">
                  <c:v>6058</c:v>
                </c:pt>
                <c:pt idx="1505">
                  <c:v>6788</c:v>
                </c:pt>
                <c:pt idx="1506">
                  <c:v>7446</c:v>
                </c:pt>
                <c:pt idx="1507">
                  <c:v>8027</c:v>
                </c:pt>
                <c:pt idx="1508">
                  <c:v>8523</c:v>
                </c:pt>
                <c:pt idx="1509">
                  <c:v>8930</c:v>
                </c:pt>
                <c:pt idx="1510">
                  <c:v>9245</c:v>
                </c:pt>
                <c:pt idx="1511">
                  <c:v>9399</c:v>
                </c:pt>
                <c:pt idx="1512">
                  <c:v>9486</c:v>
                </c:pt>
                <c:pt idx="1513">
                  <c:v>9549</c:v>
                </c:pt>
                <c:pt idx="1514">
                  <c:v>9594</c:v>
                </c:pt>
                <c:pt idx="1515">
                  <c:v>9600</c:v>
                </c:pt>
                <c:pt idx="1516">
                  <c:v>8906</c:v>
                </c:pt>
                <c:pt idx="1517">
                  <c:v>6588</c:v>
                </c:pt>
                <c:pt idx="1518">
                  <c:v>-6391</c:v>
                </c:pt>
                <c:pt idx="1519">
                  <c:v>3522</c:v>
                </c:pt>
                <c:pt idx="1520">
                  <c:v>3081</c:v>
                </c:pt>
                <c:pt idx="1521">
                  <c:v>2602</c:v>
                </c:pt>
                <c:pt idx="1522">
                  <c:v>2059</c:v>
                </c:pt>
                <c:pt idx="1523">
                  <c:v>1733</c:v>
                </c:pt>
                <c:pt idx="1524">
                  <c:v>1398</c:v>
                </c:pt>
                <c:pt idx="1525" formatCode="General">
                  <c:v>0.76100000000000001</c:v>
                </c:pt>
                <c:pt idx="1526" formatCode="General">
                  <c:v>0.40799999999999997</c:v>
                </c:pt>
                <c:pt idx="1527" formatCode="General">
                  <c:v>1.4999999999999999E-2</c:v>
                </c:pt>
                <c:pt idx="1528" formatCode="General">
                  <c:v>0.38</c:v>
                </c:pt>
                <c:pt idx="1529" formatCode="General">
                  <c:v>0.77600000000000002</c:v>
                </c:pt>
                <c:pt idx="1530">
                  <c:v>-1171</c:v>
                </c:pt>
                <c:pt idx="1531">
                  <c:v>-1528</c:v>
                </c:pt>
                <c:pt idx="1532">
                  <c:v>-2177</c:v>
                </c:pt>
                <c:pt idx="1533">
                  <c:v>-2520</c:v>
                </c:pt>
                <c:pt idx="1534">
                  <c:v>-2889</c:v>
                </c:pt>
                <c:pt idx="1535">
                  <c:v>-3246</c:v>
                </c:pt>
                <c:pt idx="1536">
                  <c:v>-3592</c:v>
                </c:pt>
                <c:pt idx="1537">
                  <c:v>-3923</c:v>
                </c:pt>
                <c:pt idx="1538">
                  <c:v>-4239</c:v>
                </c:pt>
                <c:pt idx="1539">
                  <c:v>-4537</c:v>
                </c:pt>
                <c:pt idx="1540">
                  <c:v>-4817</c:v>
                </c:pt>
                <c:pt idx="1541">
                  <c:v>-5077</c:v>
                </c:pt>
                <c:pt idx="1542">
                  <c:v>-5295</c:v>
                </c:pt>
                <c:pt idx="1543">
                  <c:v>-5651</c:v>
                </c:pt>
                <c:pt idx="1544">
                  <c:v>-5822</c:v>
                </c:pt>
                <c:pt idx="1545">
                  <c:v>-6040</c:v>
                </c:pt>
                <c:pt idx="1546">
                  <c:v>-6163</c:v>
                </c:pt>
                <c:pt idx="1547">
                  <c:v>-6257</c:v>
                </c:pt>
                <c:pt idx="1548">
                  <c:v>-6324</c:v>
                </c:pt>
                <c:pt idx="1549">
                  <c:v>-6378</c:v>
                </c:pt>
                <c:pt idx="1550">
                  <c:v>-6380</c:v>
                </c:pt>
                <c:pt idx="1551">
                  <c:v>4677</c:v>
                </c:pt>
                <c:pt idx="1552">
                  <c:v>4677</c:v>
                </c:pt>
                <c:pt idx="1553">
                  <c:v>7287</c:v>
                </c:pt>
                <c:pt idx="1554">
                  <c:v>-7288</c:v>
                </c:pt>
                <c:pt idx="1555">
                  <c:v>-7286</c:v>
                </c:pt>
                <c:pt idx="1556">
                  <c:v>-7271</c:v>
                </c:pt>
                <c:pt idx="1557">
                  <c:v>-7219</c:v>
                </c:pt>
                <c:pt idx="1558">
                  <c:v>-7135</c:v>
                </c:pt>
                <c:pt idx="1559">
                  <c:v>-7017</c:v>
                </c:pt>
                <c:pt idx="1560">
                  <c:v>-6865</c:v>
                </c:pt>
                <c:pt idx="1561">
                  <c:v>-6585</c:v>
                </c:pt>
                <c:pt idx="1562">
                  <c:v>-6363</c:v>
                </c:pt>
                <c:pt idx="1563">
                  <c:v>-5939</c:v>
                </c:pt>
                <c:pt idx="1564">
                  <c:v>-5653</c:v>
                </c:pt>
                <c:pt idx="1565">
                  <c:v>-5326</c:v>
                </c:pt>
                <c:pt idx="1566">
                  <c:v>-4974</c:v>
                </c:pt>
                <c:pt idx="1567">
                  <c:v>-4599</c:v>
                </c:pt>
                <c:pt idx="1568">
                  <c:v>-4202</c:v>
                </c:pt>
                <c:pt idx="1569">
                  <c:v>-3786</c:v>
                </c:pt>
                <c:pt idx="1570">
                  <c:v>-3353</c:v>
                </c:pt>
                <c:pt idx="1571">
                  <c:v>-2903</c:v>
                </c:pt>
                <c:pt idx="1572">
                  <c:v>-2435</c:v>
                </c:pt>
                <c:pt idx="1573">
                  <c:v>-1735</c:v>
                </c:pt>
                <c:pt idx="1574">
                  <c:v>-1238</c:v>
                </c:pt>
                <c:pt idx="1575" formatCode="General">
                  <c:v>0.745</c:v>
                </c:pt>
                <c:pt idx="1576" formatCode="General">
                  <c:v>0.249</c:v>
                </c:pt>
                <c:pt idx="1577" formatCode="General">
                  <c:v>0.249</c:v>
                </c:pt>
                <c:pt idx="1578" formatCode="General">
                  <c:v>0.745</c:v>
                </c:pt>
                <c:pt idx="1579">
                  <c:v>1238</c:v>
                </c:pt>
                <c:pt idx="1580">
                  <c:v>1703</c:v>
                </c:pt>
                <c:pt idx="1581">
                  <c:v>2462</c:v>
                </c:pt>
                <c:pt idx="1582">
                  <c:v>2903</c:v>
                </c:pt>
                <c:pt idx="1583">
                  <c:v>3332</c:v>
                </c:pt>
                <c:pt idx="1584">
                  <c:v>3996</c:v>
                </c:pt>
                <c:pt idx="1585">
                  <c:v>4598</c:v>
                </c:pt>
                <c:pt idx="1586">
                  <c:v>5151</c:v>
                </c:pt>
                <c:pt idx="1587">
                  <c:v>5651</c:v>
                </c:pt>
                <c:pt idx="1588">
                  <c:v>6092</c:v>
                </c:pt>
                <c:pt idx="1589">
                  <c:v>6468</c:v>
                </c:pt>
                <c:pt idx="1590">
                  <c:v>6777</c:v>
                </c:pt>
                <c:pt idx="1591">
                  <c:v>7015</c:v>
                </c:pt>
                <c:pt idx="1592">
                  <c:v>7184</c:v>
                </c:pt>
                <c:pt idx="1593">
                  <c:v>7249</c:v>
                </c:pt>
                <c:pt idx="1594">
                  <c:v>7283</c:v>
                </c:pt>
                <c:pt idx="1595">
                  <c:v>7287</c:v>
                </c:pt>
                <c:pt idx="1596">
                  <c:v>8584</c:v>
                </c:pt>
                <c:pt idx="1597">
                  <c:v>-8584</c:v>
                </c:pt>
                <c:pt idx="1598">
                  <c:v>-8582</c:v>
                </c:pt>
                <c:pt idx="1599">
                  <c:v>-8564</c:v>
                </c:pt>
                <c:pt idx="1600">
                  <c:v>-8504</c:v>
                </c:pt>
                <c:pt idx="1601">
                  <c:v>-8404</c:v>
                </c:pt>
                <c:pt idx="1602">
                  <c:v>-8265</c:v>
                </c:pt>
                <c:pt idx="1603">
                  <c:v>-8087</c:v>
                </c:pt>
                <c:pt idx="1604">
                  <c:v>-7754</c:v>
                </c:pt>
                <c:pt idx="1605">
                  <c:v>-7488</c:v>
                </c:pt>
                <c:pt idx="1606">
                  <c:v>-7005</c:v>
                </c:pt>
                <c:pt idx="1607">
                  <c:v>-6658</c:v>
                </c:pt>
                <c:pt idx="1608">
                  <c:v>-6273</c:v>
                </c:pt>
                <c:pt idx="1609">
                  <c:v>-5859</c:v>
                </c:pt>
                <c:pt idx="1610">
                  <c:v>-5417</c:v>
                </c:pt>
                <c:pt idx="1611">
                  <c:v>-4950</c:v>
                </c:pt>
                <c:pt idx="1612">
                  <c:v>-4460</c:v>
                </c:pt>
                <c:pt idx="1613">
                  <c:v>-3949</c:v>
                </c:pt>
                <c:pt idx="1614">
                  <c:v>-3420</c:v>
                </c:pt>
                <c:pt idx="1615">
                  <c:v>-2871</c:v>
                </c:pt>
                <c:pt idx="1616">
                  <c:v>-2037</c:v>
                </c:pt>
                <c:pt idx="1617">
                  <c:v>-1458</c:v>
                </c:pt>
                <c:pt idx="1618" formatCode="General">
                  <c:v>0.878</c:v>
                </c:pt>
                <c:pt idx="1619" formatCode="General">
                  <c:v>0.29299999999999998</c:v>
                </c:pt>
                <c:pt idx="1620" formatCode="General">
                  <c:v>0.29299999999999998</c:v>
                </c:pt>
                <c:pt idx="1621" formatCode="General">
                  <c:v>0.878</c:v>
                </c:pt>
                <c:pt idx="1622">
                  <c:v>1458</c:v>
                </c:pt>
                <c:pt idx="1623">
                  <c:v>2020</c:v>
                </c:pt>
                <c:pt idx="1624">
                  <c:v>2886</c:v>
                </c:pt>
                <c:pt idx="1625">
                  <c:v>3420</c:v>
                </c:pt>
                <c:pt idx="1626">
                  <c:v>3938</c:v>
                </c:pt>
                <c:pt idx="1627">
                  <c:v>4707</c:v>
                </c:pt>
                <c:pt idx="1628">
                  <c:v>5416</c:v>
                </c:pt>
                <c:pt idx="1629">
                  <c:v>6069</c:v>
                </c:pt>
                <c:pt idx="1630">
                  <c:v>6658</c:v>
                </c:pt>
                <c:pt idx="1631">
                  <c:v>7177</c:v>
                </c:pt>
                <c:pt idx="1632">
                  <c:v>7620</c:v>
                </c:pt>
                <c:pt idx="1633">
                  <c:v>7984</c:v>
                </c:pt>
                <c:pt idx="1634">
                  <c:v>8264</c:v>
                </c:pt>
                <c:pt idx="1635">
                  <c:v>8460</c:v>
                </c:pt>
                <c:pt idx="1636">
                  <c:v>8539</c:v>
                </c:pt>
                <c:pt idx="1637">
                  <c:v>8579</c:v>
                </c:pt>
                <c:pt idx="1638">
                  <c:v>8584</c:v>
                </c:pt>
                <c:pt idx="1639">
                  <c:v>9600</c:v>
                </c:pt>
                <c:pt idx="1640">
                  <c:v>-9600</c:v>
                </c:pt>
                <c:pt idx="1641">
                  <c:v>-9597</c:v>
                </c:pt>
                <c:pt idx="1642">
                  <c:v>-9577</c:v>
                </c:pt>
                <c:pt idx="1643">
                  <c:v>-9510</c:v>
                </c:pt>
                <c:pt idx="1644">
                  <c:v>-9399</c:v>
                </c:pt>
                <c:pt idx="1645">
                  <c:v>-9244</c:v>
                </c:pt>
                <c:pt idx="1646">
                  <c:v>-9045</c:v>
                </c:pt>
                <c:pt idx="1647">
                  <c:v>-8670</c:v>
                </c:pt>
                <c:pt idx="1648">
                  <c:v>-8369</c:v>
                </c:pt>
                <c:pt idx="1649">
                  <c:v>-7841</c:v>
                </c:pt>
                <c:pt idx="1650">
                  <c:v>-7447</c:v>
                </c:pt>
                <c:pt idx="1651">
                  <c:v>-7016</c:v>
                </c:pt>
                <c:pt idx="1652">
                  <c:v>-6552</c:v>
                </c:pt>
                <c:pt idx="1653">
                  <c:v>-6058</c:v>
                </c:pt>
                <c:pt idx="1654">
                  <c:v>-5536</c:v>
                </c:pt>
                <c:pt idx="1655">
                  <c:v>-4988</c:v>
                </c:pt>
                <c:pt idx="1656">
                  <c:v>-4417</c:v>
                </c:pt>
                <c:pt idx="1657">
                  <c:v>-3825</c:v>
                </c:pt>
                <c:pt idx="1658">
                  <c:v>-3214</c:v>
                </c:pt>
                <c:pt idx="1659">
                  <c:v>-2274</c:v>
                </c:pt>
                <c:pt idx="1660">
                  <c:v>-1631</c:v>
                </c:pt>
                <c:pt idx="1661" formatCode="General">
                  <c:v>0.98199999999999998</c:v>
                </c:pt>
                <c:pt idx="1662" formatCode="General">
                  <c:v>0.32800000000000001</c:v>
                </c:pt>
                <c:pt idx="1663" formatCode="General">
                  <c:v>0.32800000000000001</c:v>
                </c:pt>
                <c:pt idx="1664" formatCode="General">
                  <c:v>0.98199999999999998</c:v>
                </c:pt>
                <c:pt idx="1665">
                  <c:v>1631</c:v>
                </c:pt>
                <c:pt idx="1666">
                  <c:v>2270</c:v>
                </c:pt>
                <c:pt idx="1667">
                  <c:v>3218</c:v>
                </c:pt>
                <c:pt idx="1668">
                  <c:v>3825</c:v>
                </c:pt>
                <c:pt idx="1669">
                  <c:v>4413</c:v>
                </c:pt>
                <c:pt idx="1670">
                  <c:v>5265</c:v>
                </c:pt>
                <c:pt idx="1671">
                  <c:v>6058</c:v>
                </c:pt>
                <c:pt idx="1672">
                  <c:v>6788</c:v>
                </c:pt>
                <c:pt idx="1673">
                  <c:v>7446</c:v>
                </c:pt>
                <c:pt idx="1674">
                  <c:v>8027</c:v>
                </c:pt>
                <c:pt idx="1675">
                  <c:v>8523</c:v>
                </c:pt>
                <c:pt idx="1676">
                  <c:v>8930</c:v>
                </c:pt>
                <c:pt idx="1677">
                  <c:v>9244</c:v>
                </c:pt>
                <c:pt idx="1678">
                  <c:v>9461</c:v>
                </c:pt>
                <c:pt idx="1679">
                  <c:v>9549</c:v>
                </c:pt>
                <c:pt idx="1680">
                  <c:v>9594</c:v>
                </c:pt>
                <c:pt idx="1681">
                  <c:v>9600</c:v>
                </c:pt>
                <c:pt idx="1682">
                  <c:v>8906</c:v>
                </c:pt>
                <c:pt idx="1683">
                  <c:v>6588</c:v>
                </c:pt>
                <c:pt idx="1684">
                  <c:v>-6391</c:v>
                </c:pt>
                <c:pt idx="1685">
                  <c:v>3522</c:v>
                </c:pt>
                <c:pt idx="1686">
                  <c:v>3081</c:v>
                </c:pt>
                <c:pt idx="1687">
                  <c:v>2602</c:v>
                </c:pt>
                <c:pt idx="1688">
                  <c:v>2059</c:v>
                </c:pt>
                <c:pt idx="1689">
                  <c:v>1733</c:v>
                </c:pt>
                <c:pt idx="1690">
                  <c:v>1398</c:v>
                </c:pt>
                <c:pt idx="1691" formatCode="General">
                  <c:v>0.76100000000000001</c:v>
                </c:pt>
                <c:pt idx="1692" formatCode="General">
                  <c:v>0.40799999999999997</c:v>
                </c:pt>
                <c:pt idx="1693" formatCode="General">
                  <c:v>1.4999999999999999E-2</c:v>
                </c:pt>
                <c:pt idx="1694" formatCode="General">
                  <c:v>0.38</c:v>
                </c:pt>
                <c:pt idx="1695" formatCode="General">
                  <c:v>0.77600000000000002</c:v>
                </c:pt>
                <c:pt idx="1696">
                  <c:v>-1171</c:v>
                </c:pt>
                <c:pt idx="1697">
                  <c:v>-1545</c:v>
                </c:pt>
                <c:pt idx="1698">
                  <c:v>-2243</c:v>
                </c:pt>
                <c:pt idx="1699">
                  <c:v>-2511</c:v>
                </c:pt>
                <c:pt idx="1700">
                  <c:v>-2889</c:v>
                </c:pt>
                <c:pt idx="1701">
                  <c:v>-3246</c:v>
                </c:pt>
                <c:pt idx="1702">
                  <c:v>-3592</c:v>
                </c:pt>
                <c:pt idx="1703">
                  <c:v>-3923</c:v>
                </c:pt>
                <c:pt idx="1704">
                  <c:v>-4239</c:v>
                </c:pt>
                <c:pt idx="1705">
                  <c:v>-4537</c:v>
                </c:pt>
                <c:pt idx="1706">
                  <c:v>-4817</c:v>
                </c:pt>
                <c:pt idx="1707">
                  <c:v>-5077</c:v>
                </c:pt>
                <c:pt idx="1708">
                  <c:v>-5295</c:v>
                </c:pt>
                <c:pt idx="1709">
                  <c:v>-5640</c:v>
                </c:pt>
                <c:pt idx="1710">
                  <c:v>-5938</c:v>
                </c:pt>
                <c:pt idx="1711">
                  <c:v>-6041</c:v>
                </c:pt>
                <c:pt idx="1712">
                  <c:v>-6163</c:v>
                </c:pt>
                <c:pt idx="1713">
                  <c:v>-6257</c:v>
                </c:pt>
                <c:pt idx="1714">
                  <c:v>-6324</c:v>
                </c:pt>
                <c:pt idx="1715">
                  <c:v>-6378</c:v>
                </c:pt>
                <c:pt idx="1716">
                  <c:v>-6380</c:v>
                </c:pt>
                <c:pt idx="1717">
                  <c:v>4677</c:v>
                </c:pt>
                <c:pt idx="1718">
                  <c:v>4677</c:v>
                </c:pt>
                <c:pt idx="1719">
                  <c:v>7287</c:v>
                </c:pt>
                <c:pt idx="1720">
                  <c:v>-7288</c:v>
                </c:pt>
                <c:pt idx="1721">
                  <c:v>-7285</c:v>
                </c:pt>
                <c:pt idx="1722">
                  <c:v>-7219</c:v>
                </c:pt>
                <c:pt idx="1723">
                  <c:v>-7135</c:v>
                </c:pt>
                <c:pt idx="1724">
                  <c:v>-7017</c:v>
                </c:pt>
                <c:pt idx="1725">
                  <c:v>-6866</c:v>
                </c:pt>
                <c:pt idx="1726">
                  <c:v>-6692</c:v>
                </c:pt>
                <c:pt idx="1727">
                  <c:v>-6350</c:v>
                </c:pt>
                <c:pt idx="1728">
                  <c:v>-5939</c:v>
                </c:pt>
                <c:pt idx="1729">
                  <c:v>-5653</c:v>
                </c:pt>
                <c:pt idx="1730">
                  <c:v>-5326</c:v>
                </c:pt>
                <c:pt idx="1731">
                  <c:v>-4974</c:v>
                </c:pt>
                <c:pt idx="1732">
                  <c:v>-4599</c:v>
                </c:pt>
                <c:pt idx="1733">
                  <c:v>-4202</c:v>
                </c:pt>
                <c:pt idx="1734">
                  <c:v>-3786</c:v>
                </c:pt>
                <c:pt idx="1735">
                  <c:v>-3353</c:v>
                </c:pt>
                <c:pt idx="1736">
                  <c:v>-2903</c:v>
                </c:pt>
                <c:pt idx="1737">
                  <c:v>-2436</c:v>
                </c:pt>
                <c:pt idx="1738">
                  <c:v>-1736</c:v>
                </c:pt>
                <c:pt idx="1739">
                  <c:v>-1238</c:v>
                </c:pt>
                <c:pt idx="1740" formatCode="General">
                  <c:v>0.745</c:v>
                </c:pt>
                <c:pt idx="1741" formatCode="General">
                  <c:v>0.249</c:v>
                </c:pt>
                <c:pt idx="1742" formatCode="General">
                  <c:v>0.249</c:v>
                </c:pt>
                <c:pt idx="1743" formatCode="General">
                  <c:v>0.745</c:v>
                </c:pt>
                <c:pt idx="1744">
                  <c:v>1238</c:v>
                </c:pt>
                <c:pt idx="1745">
                  <c:v>1703</c:v>
                </c:pt>
                <c:pt idx="1746">
                  <c:v>2462</c:v>
                </c:pt>
                <c:pt idx="1747">
                  <c:v>2903</c:v>
                </c:pt>
                <c:pt idx="1748">
                  <c:v>3332</c:v>
                </c:pt>
                <c:pt idx="1749">
                  <c:v>3996</c:v>
                </c:pt>
                <c:pt idx="1750">
                  <c:v>4598</c:v>
                </c:pt>
                <c:pt idx="1751">
                  <c:v>5151</c:v>
                </c:pt>
                <c:pt idx="1752">
                  <c:v>5651</c:v>
                </c:pt>
                <c:pt idx="1753">
                  <c:v>6092</c:v>
                </c:pt>
                <c:pt idx="1754">
                  <c:v>6468</c:v>
                </c:pt>
                <c:pt idx="1755">
                  <c:v>6777</c:v>
                </c:pt>
                <c:pt idx="1756">
                  <c:v>7015</c:v>
                </c:pt>
                <c:pt idx="1757">
                  <c:v>7184</c:v>
                </c:pt>
                <c:pt idx="1758">
                  <c:v>7249</c:v>
                </c:pt>
                <c:pt idx="1759">
                  <c:v>7283</c:v>
                </c:pt>
                <c:pt idx="1760">
                  <c:v>7287</c:v>
                </c:pt>
                <c:pt idx="1761">
                  <c:v>8584</c:v>
                </c:pt>
                <c:pt idx="1762">
                  <c:v>-8584</c:v>
                </c:pt>
                <c:pt idx="1763">
                  <c:v>-8581</c:v>
                </c:pt>
                <c:pt idx="1764">
                  <c:v>-8564</c:v>
                </c:pt>
                <c:pt idx="1765">
                  <c:v>-8504</c:v>
                </c:pt>
                <c:pt idx="1766">
                  <c:v>-8404</c:v>
                </c:pt>
                <c:pt idx="1767">
                  <c:v>-8265</c:v>
                </c:pt>
                <c:pt idx="1768">
                  <c:v>-8088</c:v>
                </c:pt>
                <c:pt idx="1769">
                  <c:v>-7877</c:v>
                </c:pt>
                <c:pt idx="1770">
                  <c:v>-7481</c:v>
                </c:pt>
                <c:pt idx="1771">
                  <c:v>-7005</c:v>
                </c:pt>
                <c:pt idx="1772">
                  <c:v>-6658</c:v>
                </c:pt>
                <c:pt idx="1773">
                  <c:v>-6273</c:v>
                </c:pt>
                <c:pt idx="1774">
                  <c:v>-5859</c:v>
                </c:pt>
                <c:pt idx="1775">
                  <c:v>-5417</c:v>
                </c:pt>
                <c:pt idx="1776">
                  <c:v>-4950</c:v>
                </c:pt>
                <c:pt idx="1777">
                  <c:v>-4460</c:v>
                </c:pt>
                <c:pt idx="1778">
                  <c:v>-3949</c:v>
                </c:pt>
                <c:pt idx="1779">
                  <c:v>-3420</c:v>
                </c:pt>
                <c:pt idx="1780">
                  <c:v>-2872</c:v>
                </c:pt>
                <c:pt idx="1781">
                  <c:v>-2038</c:v>
                </c:pt>
                <c:pt idx="1782">
                  <c:v>-1458</c:v>
                </c:pt>
                <c:pt idx="1783" formatCode="General">
                  <c:v>0.878</c:v>
                </c:pt>
                <c:pt idx="1784" formatCode="General">
                  <c:v>0.29299999999999998</c:v>
                </c:pt>
                <c:pt idx="1785" formatCode="General">
                  <c:v>0.29299999999999998</c:v>
                </c:pt>
                <c:pt idx="1786" formatCode="General">
                  <c:v>0.878</c:v>
                </c:pt>
                <c:pt idx="1787">
                  <c:v>1458</c:v>
                </c:pt>
                <c:pt idx="1788">
                  <c:v>2020</c:v>
                </c:pt>
                <c:pt idx="1789">
                  <c:v>2886</c:v>
                </c:pt>
                <c:pt idx="1790">
                  <c:v>3420</c:v>
                </c:pt>
                <c:pt idx="1791">
                  <c:v>3938</c:v>
                </c:pt>
                <c:pt idx="1792">
                  <c:v>4707</c:v>
                </c:pt>
                <c:pt idx="1793">
                  <c:v>5416</c:v>
                </c:pt>
                <c:pt idx="1794">
                  <c:v>6069</c:v>
                </c:pt>
                <c:pt idx="1795">
                  <c:v>6658</c:v>
                </c:pt>
                <c:pt idx="1796">
                  <c:v>7177</c:v>
                </c:pt>
                <c:pt idx="1797">
                  <c:v>7620</c:v>
                </c:pt>
                <c:pt idx="1798">
                  <c:v>7984</c:v>
                </c:pt>
                <c:pt idx="1799">
                  <c:v>8264</c:v>
                </c:pt>
                <c:pt idx="1800">
                  <c:v>8460</c:v>
                </c:pt>
                <c:pt idx="1801">
                  <c:v>8539</c:v>
                </c:pt>
                <c:pt idx="1802">
                  <c:v>8579</c:v>
                </c:pt>
                <c:pt idx="1803">
                  <c:v>8584</c:v>
                </c:pt>
                <c:pt idx="1804">
                  <c:v>9600</c:v>
                </c:pt>
                <c:pt idx="1805">
                  <c:v>-9600</c:v>
                </c:pt>
                <c:pt idx="1806">
                  <c:v>-9596</c:v>
                </c:pt>
                <c:pt idx="1807">
                  <c:v>-9578</c:v>
                </c:pt>
                <c:pt idx="1808">
                  <c:v>-9510</c:v>
                </c:pt>
                <c:pt idx="1809">
                  <c:v>-9399</c:v>
                </c:pt>
                <c:pt idx="1810">
                  <c:v>-9244</c:v>
                </c:pt>
                <c:pt idx="1811">
                  <c:v>-9045</c:v>
                </c:pt>
                <c:pt idx="1812">
                  <c:v>-8806</c:v>
                </c:pt>
                <c:pt idx="1813">
                  <c:v>-8367</c:v>
                </c:pt>
                <c:pt idx="1814">
                  <c:v>-7841</c:v>
                </c:pt>
                <c:pt idx="1815">
                  <c:v>-7447</c:v>
                </c:pt>
                <c:pt idx="1816">
                  <c:v>-7016</c:v>
                </c:pt>
                <c:pt idx="1817">
                  <c:v>-6552</c:v>
                </c:pt>
                <c:pt idx="1818">
                  <c:v>-6058</c:v>
                </c:pt>
                <c:pt idx="1819">
                  <c:v>-5536</c:v>
                </c:pt>
                <c:pt idx="1820">
                  <c:v>-4988</c:v>
                </c:pt>
                <c:pt idx="1821">
                  <c:v>-4417</c:v>
                </c:pt>
                <c:pt idx="1822">
                  <c:v>-3825</c:v>
                </c:pt>
                <c:pt idx="1823">
                  <c:v>-3214</c:v>
                </c:pt>
                <c:pt idx="1824">
                  <c:v>-2274</c:v>
                </c:pt>
                <c:pt idx="1825">
                  <c:v>-1631</c:v>
                </c:pt>
                <c:pt idx="1826" formatCode="General">
                  <c:v>0.98199999999999998</c:v>
                </c:pt>
                <c:pt idx="1827" formatCode="General">
                  <c:v>0.32800000000000001</c:v>
                </c:pt>
                <c:pt idx="1828" formatCode="General">
                  <c:v>0.32800000000000001</c:v>
                </c:pt>
                <c:pt idx="1829" formatCode="General">
                  <c:v>0.98199999999999998</c:v>
                </c:pt>
                <c:pt idx="1830">
                  <c:v>1631</c:v>
                </c:pt>
                <c:pt idx="1831">
                  <c:v>2270</c:v>
                </c:pt>
                <c:pt idx="1832">
                  <c:v>3218</c:v>
                </c:pt>
                <c:pt idx="1833">
                  <c:v>3825</c:v>
                </c:pt>
                <c:pt idx="1834">
                  <c:v>4413</c:v>
                </c:pt>
                <c:pt idx="1835">
                  <c:v>5265</c:v>
                </c:pt>
                <c:pt idx="1836">
                  <c:v>6058</c:v>
                </c:pt>
                <c:pt idx="1837">
                  <c:v>6788</c:v>
                </c:pt>
                <c:pt idx="1838">
                  <c:v>7446</c:v>
                </c:pt>
                <c:pt idx="1839">
                  <c:v>8027</c:v>
                </c:pt>
                <c:pt idx="1840">
                  <c:v>8523</c:v>
                </c:pt>
                <c:pt idx="1841">
                  <c:v>8930</c:v>
                </c:pt>
                <c:pt idx="1842">
                  <c:v>9243</c:v>
                </c:pt>
                <c:pt idx="1843">
                  <c:v>9461</c:v>
                </c:pt>
                <c:pt idx="1844">
                  <c:v>9549</c:v>
                </c:pt>
                <c:pt idx="1845">
                  <c:v>9594</c:v>
                </c:pt>
                <c:pt idx="1846">
                  <c:v>9600</c:v>
                </c:pt>
                <c:pt idx="1847">
                  <c:v>8906</c:v>
                </c:pt>
                <c:pt idx="1848">
                  <c:v>6588</c:v>
                </c:pt>
                <c:pt idx="1849">
                  <c:v>-6391</c:v>
                </c:pt>
                <c:pt idx="1850">
                  <c:v>3522</c:v>
                </c:pt>
                <c:pt idx="1851">
                  <c:v>3081</c:v>
                </c:pt>
                <c:pt idx="1852">
                  <c:v>2602</c:v>
                </c:pt>
                <c:pt idx="1853">
                  <c:v>2059</c:v>
                </c:pt>
                <c:pt idx="1854">
                  <c:v>1733</c:v>
                </c:pt>
                <c:pt idx="1855">
                  <c:v>1398</c:v>
                </c:pt>
                <c:pt idx="1856" formatCode="General">
                  <c:v>0.76100000000000001</c:v>
                </c:pt>
                <c:pt idx="1857" formatCode="General">
                  <c:v>0.40799999999999997</c:v>
                </c:pt>
                <c:pt idx="1858" formatCode="General">
                  <c:v>1.4999999999999999E-2</c:v>
                </c:pt>
                <c:pt idx="1859" formatCode="General">
                  <c:v>0.38</c:v>
                </c:pt>
                <c:pt idx="1860" formatCode="General">
                  <c:v>0.77600000000000002</c:v>
                </c:pt>
                <c:pt idx="1861">
                  <c:v>-1171</c:v>
                </c:pt>
                <c:pt idx="1862">
                  <c:v>-1546</c:v>
                </c:pt>
                <c:pt idx="1863">
                  <c:v>-2227</c:v>
                </c:pt>
                <c:pt idx="1864">
                  <c:v>-2513</c:v>
                </c:pt>
                <c:pt idx="1865">
                  <c:v>-2889</c:v>
                </c:pt>
                <c:pt idx="1866">
                  <c:v>-3246</c:v>
                </c:pt>
                <c:pt idx="1867">
                  <c:v>-3592</c:v>
                </c:pt>
                <c:pt idx="1868">
                  <c:v>-3923</c:v>
                </c:pt>
                <c:pt idx="1869">
                  <c:v>-4239</c:v>
                </c:pt>
                <c:pt idx="1870">
                  <c:v>-4537</c:v>
                </c:pt>
                <c:pt idx="1871">
                  <c:v>-4817</c:v>
                </c:pt>
                <c:pt idx="1872">
                  <c:v>-5077</c:v>
                </c:pt>
                <c:pt idx="1873">
                  <c:v>-5295</c:v>
                </c:pt>
                <c:pt idx="1874">
                  <c:v>-5631</c:v>
                </c:pt>
                <c:pt idx="1875">
                  <c:v>-5911</c:v>
                </c:pt>
                <c:pt idx="1876">
                  <c:v>-6044</c:v>
                </c:pt>
                <c:pt idx="1877">
                  <c:v>-6163</c:v>
                </c:pt>
                <c:pt idx="1878">
                  <c:v>-6257</c:v>
                </c:pt>
                <c:pt idx="1879">
                  <c:v>-6322</c:v>
                </c:pt>
                <c:pt idx="1880">
                  <c:v>-6377</c:v>
                </c:pt>
                <c:pt idx="1881">
                  <c:v>-6379</c:v>
                </c:pt>
                <c:pt idx="1882">
                  <c:v>4677</c:v>
                </c:pt>
                <c:pt idx="1883">
                  <c:v>4677</c:v>
                </c:pt>
                <c:pt idx="1884">
                  <c:v>7287</c:v>
                </c:pt>
                <c:pt idx="1885">
                  <c:v>-7288</c:v>
                </c:pt>
                <c:pt idx="1886">
                  <c:v>-7285</c:v>
                </c:pt>
                <c:pt idx="1887">
                  <c:v>-7219</c:v>
                </c:pt>
                <c:pt idx="1888">
                  <c:v>-7135</c:v>
                </c:pt>
                <c:pt idx="1889">
                  <c:v>-7017</c:v>
                </c:pt>
                <c:pt idx="1890">
                  <c:v>-6866</c:v>
                </c:pt>
                <c:pt idx="1891">
                  <c:v>-6692</c:v>
                </c:pt>
                <c:pt idx="1892">
                  <c:v>-6350</c:v>
                </c:pt>
                <c:pt idx="1893">
                  <c:v>-5939</c:v>
                </c:pt>
                <c:pt idx="1894">
                  <c:v>-5653</c:v>
                </c:pt>
                <c:pt idx="1895">
                  <c:v>-5326</c:v>
                </c:pt>
                <c:pt idx="1896">
                  <c:v>-4974</c:v>
                </c:pt>
                <c:pt idx="1897">
                  <c:v>-4599</c:v>
                </c:pt>
                <c:pt idx="1898">
                  <c:v>-4202</c:v>
                </c:pt>
                <c:pt idx="1899">
                  <c:v>-3786</c:v>
                </c:pt>
                <c:pt idx="1900">
                  <c:v>-3353</c:v>
                </c:pt>
                <c:pt idx="1901">
                  <c:v>-2903</c:v>
                </c:pt>
                <c:pt idx="1902">
                  <c:v>-2440</c:v>
                </c:pt>
                <c:pt idx="1903">
                  <c:v>-1988</c:v>
                </c:pt>
                <c:pt idx="1904">
                  <c:v>-1215</c:v>
                </c:pt>
                <c:pt idx="1905" formatCode="General">
                  <c:v>0.745</c:v>
                </c:pt>
                <c:pt idx="1906" formatCode="General">
                  <c:v>0.249</c:v>
                </c:pt>
                <c:pt idx="1907" formatCode="General">
                  <c:v>0.249</c:v>
                </c:pt>
                <c:pt idx="1908" formatCode="General">
                  <c:v>0.745</c:v>
                </c:pt>
                <c:pt idx="1909">
                  <c:v>1238</c:v>
                </c:pt>
                <c:pt idx="1910">
                  <c:v>1703</c:v>
                </c:pt>
                <c:pt idx="1911">
                  <c:v>2462</c:v>
                </c:pt>
                <c:pt idx="1912">
                  <c:v>2903</c:v>
                </c:pt>
                <c:pt idx="1913">
                  <c:v>3332</c:v>
                </c:pt>
                <c:pt idx="1914">
                  <c:v>3996</c:v>
                </c:pt>
                <c:pt idx="1915">
                  <c:v>4598</c:v>
                </c:pt>
                <c:pt idx="1916">
                  <c:v>5151</c:v>
                </c:pt>
                <c:pt idx="1917">
                  <c:v>5651</c:v>
                </c:pt>
                <c:pt idx="1918">
                  <c:v>6092</c:v>
                </c:pt>
                <c:pt idx="1919">
                  <c:v>6468</c:v>
                </c:pt>
                <c:pt idx="1920">
                  <c:v>6777</c:v>
                </c:pt>
                <c:pt idx="1921">
                  <c:v>7015</c:v>
                </c:pt>
                <c:pt idx="1922">
                  <c:v>7184</c:v>
                </c:pt>
                <c:pt idx="1923">
                  <c:v>7249</c:v>
                </c:pt>
                <c:pt idx="1924">
                  <c:v>7283</c:v>
                </c:pt>
                <c:pt idx="1925">
                  <c:v>7287</c:v>
                </c:pt>
                <c:pt idx="1926">
                  <c:v>8584</c:v>
                </c:pt>
                <c:pt idx="1927">
                  <c:v>-8584</c:v>
                </c:pt>
                <c:pt idx="1928">
                  <c:v>-8580</c:v>
                </c:pt>
                <c:pt idx="1929">
                  <c:v>-8564</c:v>
                </c:pt>
                <c:pt idx="1930">
                  <c:v>-8504</c:v>
                </c:pt>
                <c:pt idx="1931">
                  <c:v>-8404</c:v>
                </c:pt>
                <c:pt idx="1932">
                  <c:v>-8265</c:v>
                </c:pt>
                <c:pt idx="1933">
                  <c:v>-8088</c:v>
                </c:pt>
                <c:pt idx="1934">
                  <c:v>-7877</c:v>
                </c:pt>
                <c:pt idx="1935">
                  <c:v>-7481</c:v>
                </c:pt>
                <c:pt idx="1936">
                  <c:v>-7005</c:v>
                </c:pt>
                <c:pt idx="1937">
                  <c:v>-6658</c:v>
                </c:pt>
                <c:pt idx="1938">
                  <c:v>-6273</c:v>
                </c:pt>
                <c:pt idx="1939">
                  <c:v>-5859</c:v>
                </c:pt>
                <c:pt idx="1940">
                  <c:v>-5417</c:v>
                </c:pt>
                <c:pt idx="1941">
                  <c:v>-4950</c:v>
                </c:pt>
                <c:pt idx="1942">
                  <c:v>-4460</c:v>
                </c:pt>
                <c:pt idx="1943">
                  <c:v>-3949</c:v>
                </c:pt>
                <c:pt idx="1944">
                  <c:v>-3420</c:v>
                </c:pt>
                <c:pt idx="1945">
                  <c:v>-2874</c:v>
                </c:pt>
                <c:pt idx="1946">
                  <c:v>-2327</c:v>
                </c:pt>
                <c:pt idx="1947">
                  <c:v>-1446</c:v>
                </c:pt>
                <c:pt idx="1948" formatCode="General">
                  <c:v>0.878</c:v>
                </c:pt>
                <c:pt idx="1949" formatCode="General">
                  <c:v>0.29299999999999998</c:v>
                </c:pt>
                <c:pt idx="1950" formatCode="General">
                  <c:v>0.29299999999999998</c:v>
                </c:pt>
                <c:pt idx="1951" formatCode="General">
                  <c:v>0.878</c:v>
                </c:pt>
                <c:pt idx="1952">
                  <c:v>1458</c:v>
                </c:pt>
                <c:pt idx="1953">
                  <c:v>2020</c:v>
                </c:pt>
                <c:pt idx="1954">
                  <c:v>2886</c:v>
                </c:pt>
                <c:pt idx="1955">
                  <c:v>3420</c:v>
                </c:pt>
                <c:pt idx="1956">
                  <c:v>3938</c:v>
                </c:pt>
                <c:pt idx="1957">
                  <c:v>4707</c:v>
                </c:pt>
                <c:pt idx="1958">
                  <c:v>5416</c:v>
                </c:pt>
                <c:pt idx="1959">
                  <c:v>6069</c:v>
                </c:pt>
                <c:pt idx="1960">
                  <c:v>6658</c:v>
                </c:pt>
                <c:pt idx="1961">
                  <c:v>7177</c:v>
                </c:pt>
                <c:pt idx="1962">
                  <c:v>7620</c:v>
                </c:pt>
                <c:pt idx="1963">
                  <c:v>7984</c:v>
                </c:pt>
                <c:pt idx="1964">
                  <c:v>8264</c:v>
                </c:pt>
                <c:pt idx="1965">
                  <c:v>8460</c:v>
                </c:pt>
                <c:pt idx="1966">
                  <c:v>8539</c:v>
                </c:pt>
                <c:pt idx="1967">
                  <c:v>8579</c:v>
                </c:pt>
                <c:pt idx="1968">
                  <c:v>8584</c:v>
                </c:pt>
                <c:pt idx="1969">
                  <c:v>9600</c:v>
                </c:pt>
                <c:pt idx="1970">
                  <c:v>-9600</c:v>
                </c:pt>
                <c:pt idx="1971">
                  <c:v>-9596</c:v>
                </c:pt>
                <c:pt idx="1972">
                  <c:v>-9578</c:v>
                </c:pt>
                <c:pt idx="1973">
                  <c:v>-9510</c:v>
                </c:pt>
                <c:pt idx="1974">
                  <c:v>-9399</c:v>
                </c:pt>
                <c:pt idx="1975">
                  <c:v>-9244</c:v>
                </c:pt>
                <c:pt idx="1976">
                  <c:v>-9045</c:v>
                </c:pt>
                <c:pt idx="1977">
                  <c:v>-8806</c:v>
                </c:pt>
                <c:pt idx="1978">
                  <c:v>-8367</c:v>
                </c:pt>
                <c:pt idx="1979">
                  <c:v>-7841</c:v>
                </c:pt>
                <c:pt idx="1980">
                  <c:v>-7447</c:v>
                </c:pt>
                <c:pt idx="1981">
                  <c:v>-7016</c:v>
                </c:pt>
                <c:pt idx="1982">
                  <c:v>-6552</c:v>
                </c:pt>
                <c:pt idx="1983">
                  <c:v>-6058</c:v>
                </c:pt>
                <c:pt idx="1984">
                  <c:v>-5536</c:v>
                </c:pt>
                <c:pt idx="1985">
                  <c:v>-4988</c:v>
                </c:pt>
                <c:pt idx="1986">
                  <c:v>-4417</c:v>
                </c:pt>
                <c:pt idx="1987">
                  <c:v>-3825</c:v>
                </c:pt>
                <c:pt idx="1988">
                  <c:v>-3215</c:v>
                </c:pt>
                <c:pt idx="1989">
                  <c:v>-2593</c:v>
                </c:pt>
                <c:pt idx="1990">
                  <c:v>-1628</c:v>
                </c:pt>
                <c:pt idx="1991" formatCode="General">
                  <c:v>0.98199999999999998</c:v>
                </c:pt>
                <c:pt idx="1992" formatCode="General">
                  <c:v>0.32800000000000001</c:v>
                </c:pt>
                <c:pt idx="1993" formatCode="General">
                  <c:v>0.32800000000000001</c:v>
                </c:pt>
                <c:pt idx="1994" formatCode="General">
                  <c:v>0.98199999999999998</c:v>
                </c:pt>
                <c:pt idx="1995">
                  <c:v>1631</c:v>
                </c:pt>
                <c:pt idx="1996">
                  <c:v>2270</c:v>
                </c:pt>
                <c:pt idx="1997">
                  <c:v>3218</c:v>
                </c:pt>
                <c:pt idx="1998">
                  <c:v>3825</c:v>
                </c:pt>
                <c:pt idx="1999">
                  <c:v>4413</c:v>
                </c:pt>
                <c:pt idx="2000">
                  <c:v>5265</c:v>
                </c:pt>
                <c:pt idx="2001">
                  <c:v>6058</c:v>
                </c:pt>
                <c:pt idx="2002">
                  <c:v>6788</c:v>
                </c:pt>
                <c:pt idx="2003">
                  <c:v>7446</c:v>
                </c:pt>
                <c:pt idx="2004">
                  <c:v>8027</c:v>
                </c:pt>
                <c:pt idx="2005">
                  <c:v>8523</c:v>
                </c:pt>
                <c:pt idx="2006">
                  <c:v>8930</c:v>
                </c:pt>
                <c:pt idx="2007">
                  <c:v>9244</c:v>
                </c:pt>
                <c:pt idx="2008">
                  <c:v>9461</c:v>
                </c:pt>
                <c:pt idx="2009">
                  <c:v>9549</c:v>
                </c:pt>
                <c:pt idx="2010">
                  <c:v>9594</c:v>
                </c:pt>
                <c:pt idx="2011">
                  <c:v>9600</c:v>
                </c:pt>
                <c:pt idx="2012">
                  <c:v>8906</c:v>
                </c:pt>
                <c:pt idx="2013">
                  <c:v>6588</c:v>
                </c:pt>
                <c:pt idx="2014">
                  <c:v>-6391</c:v>
                </c:pt>
                <c:pt idx="2015">
                  <c:v>3522</c:v>
                </c:pt>
                <c:pt idx="2016">
                  <c:v>3081</c:v>
                </c:pt>
                <c:pt idx="2017">
                  <c:v>2602</c:v>
                </c:pt>
                <c:pt idx="2018">
                  <c:v>2059</c:v>
                </c:pt>
                <c:pt idx="2019">
                  <c:v>1733</c:v>
                </c:pt>
                <c:pt idx="2020">
                  <c:v>1398</c:v>
                </c:pt>
                <c:pt idx="2021" formatCode="General">
                  <c:v>0.76100000000000001</c:v>
                </c:pt>
                <c:pt idx="2022" formatCode="General">
                  <c:v>0.40799999999999997</c:v>
                </c:pt>
                <c:pt idx="2023" formatCode="General">
                  <c:v>1.4999999999999999E-2</c:v>
                </c:pt>
                <c:pt idx="2024" formatCode="General">
                  <c:v>0.38</c:v>
                </c:pt>
                <c:pt idx="2025" formatCode="General">
                  <c:v>0.77600000000000002</c:v>
                </c:pt>
                <c:pt idx="2026">
                  <c:v>-1171</c:v>
                </c:pt>
                <c:pt idx="2027">
                  <c:v>-1528</c:v>
                </c:pt>
                <c:pt idx="2028">
                  <c:v>-2177</c:v>
                </c:pt>
                <c:pt idx="2029">
                  <c:v>-2520</c:v>
                </c:pt>
                <c:pt idx="2030">
                  <c:v>-2889</c:v>
                </c:pt>
                <c:pt idx="2031">
                  <c:v>-3246</c:v>
                </c:pt>
                <c:pt idx="2032">
                  <c:v>-3592</c:v>
                </c:pt>
                <c:pt idx="2033">
                  <c:v>-3923</c:v>
                </c:pt>
                <c:pt idx="2034">
                  <c:v>-4239</c:v>
                </c:pt>
                <c:pt idx="2035">
                  <c:v>-4537</c:v>
                </c:pt>
                <c:pt idx="2036">
                  <c:v>-4817</c:v>
                </c:pt>
                <c:pt idx="2037">
                  <c:v>-5077</c:v>
                </c:pt>
                <c:pt idx="2038">
                  <c:v>-5295</c:v>
                </c:pt>
                <c:pt idx="2039">
                  <c:v>-5631</c:v>
                </c:pt>
                <c:pt idx="2040">
                  <c:v>-5911</c:v>
                </c:pt>
                <c:pt idx="2041">
                  <c:v>-6044</c:v>
                </c:pt>
                <c:pt idx="2042">
                  <c:v>-6163</c:v>
                </c:pt>
                <c:pt idx="2043">
                  <c:v>-6257</c:v>
                </c:pt>
                <c:pt idx="2044">
                  <c:v>-6322</c:v>
                </c:pt>
                <c:pt idx="2045">
                  <c:v>-6377</c:v>
                </c:pt>
                <c:pt idx="2046">
                  <c:v>-6379</c:v>
                </c:pt>
                <c:pt idx="2047">
                  <c:v>4677</c:v>
                </c:pt>
                <c:pt idx="2048">
                  <c:v>4677</c:v>
                </c:pt>
                <c:pt idx="2049">
                  <c:v>7287</c:v>
                </c:pt>
                <c:pt idx="2050">
                  <c:v>-7288</c:v>
                </c:pt>
                <c:pt idx="2051">
                  <c:v>-7284</c:v>
                </c:pt>
                <c:pt idx="2052">
                  <c:v>-7219</c:v>
                </c:pt>
                <c:pt idx="2053">
                  <c:v>-7135</c:v>
                </c:pt>
                <c:pt idx="2054">
                  <c:v>-7017</c:v>
                </c:pt>
                <c:pt idx="2055">
                  <c:v>-6866</c:v>
                </c:pt>
                <c:pt idx="2056">
                  <c:v>-6692</c:v>
                </c:pt>
                <c:pt idx="2057">
                  <c:v>-6350</c:v>
                </c:pt>
                <c:pt idx="2058">
                  <c:v>-5939</c:v>
                </c:pt>
                <c:pt idx="2059">
                  <c:v>-5653</c:v>
                </c:pt>
                <c:pt idx="2060">
                  <c:v>-5326</c:v>
                </c:pt>
                <c:pt idx="2061">
                  <c:v>-4974</c:v>
                </c:pt>
                <c:pt idx="2062">
                  <c:v>-4599</c:v>
                </c:pt>
                <c:pt idx="2063">
                  <c:v>-4202</c:v>
                </c:pt>
                <c:pt idx="2064">
                  <c:v>-3786</c:v>
                </c:pt>
                <c:pt idx="2065">
                  <c:v>-3350</c:v>
                </c:pt>
                <c:pt idx="2066">
                  <c:v>-2946</c:v>
                </c:pt>
                <c:pt idx="2067">
                  <c:v>-2204</c:v>
                </c:pt>
                <c:pt idx="2068">
                  <c:v>-1725</c:v>
                </c:pt>
                <c:pt idx="2069">
                  <c:v>-1238</c:v>
                </c:pt>
                <c:pt idx="2070" formatCode="General">
                  <c:v>0.745</c:v>
                </c:pt>
                <c:pt idx="2071" formatCode="General">
                  <c:v>0.249</c:v>
                </c:pt>
                <c:pt idx="2072" formatCode="General">
                  <c:v>0.249</c:v>
                </c:pt>
                <c:pt idx="2073" formatCode="General">
                  <c:v>0.745</c:v>
                </c:pt>
                <c:pt idx="2074">
                  <c:v>1239</c:v>
                </c:pt>
                <c:pt idx="2075">
                  <c:v>1946</c:v>
                </c:pt>
                <c:pt idx="2076">
                  <c:v>2440</c:v>
                </c:pt>
                <c:pt idx="2077">
                  <c:v>2903</c:v>
                </c:pt>
                <c:pt idx="2078">
                  <c:v>3332</c:v>
                </c:pt>
                <c:pt idx="2079">
                  <c:v>3996</c:v>
                </c:pt>
                <c:pt idx="2080">
                  <c:v>4598</c:v>
                </c:pt>
                <c:pt idx="2081">
                  <c:v>5151</c:v>
                </c:pt>
                <c:pt idx="2082">
                  <c:v>5651</c:v>
                </c:pt>
                <c:pt idx="2083">
                  <c:v>6092</c:v>
                </c:pt>
                <c:pt idx="2084">
                  <c:v>6468</c:v>
                </c:pt>
                <c:pt idx="2085">
                  <c:v>6777</c:v>
                </c:pt>
                <c:pt idx="2086">
                  <c:v>7022</c:v>
                </c:pt>
                <c:pt idx="2087">
                  <c:v>7135</c:v>
                </c:pt>
                <c:pt idx="2088">
                  <c:v>7215</c:v>
                </c:pt>
                <c:pt idx="2089">
                  <c:v>7283</c:v>
                </c:pt>
                <c:pt idx="2090">
                  <c:v>7287</c:v>
                </c:pt>
                <c:pt idx="2091">
                  <c:v>8584</c:v>
                </c:pt>
                <c:pt idx="2092">
                  <c:v>-8584</c:v>
                </c:pt>
                <c:pt idx="2093">
                  <c:v>-8580</c:v>
                </c:pt>
                <c:pt idx="2094">
                  <c:v>-8564</c:v>
                </c:pt>
                <c:pt idx="2095">
                  <c:v>-8504</c:v>
                </c:pt>
                <c:pt idx="2096">
                  <c:v>-8404</c:v>
                </c:pt>
                <c:pt idx="2097">
                  <c:v>-8265</c:v>
                </c:pt>
                <c:pt idx="2098">
                  <c:v>-8088</c:v>
                </c:pt>
                <c:pt idx="2099">
                  <c:v>-7877</c:v>
                </c:pt>
                <c:pt idx="2100">
                  <c:v>-7481</c:v>
                </c:pt>
                <c:pt idx="2101">
                  <c:v>-7005</c:v>
                </c:pt>
                <c:pt idx="2102">
                  <c:v>-6658</c:v>
                </c:pt>
                <c:pt idx="2103">
                  <c:v>-6273</c:v>
                </c:pt>
                <c:pt idx="2104">
                  <c:v>-5859</c:v>
                </c:pt>
                <c:pt idx="2105">
                  <c:v>-5417</c:v>
                </c:pt>
                <c:pt idx="2106">
                  <c:v>-4950</c:v>
                </c:pt>
                <c:pt idx="2107">
                  <c:v>-4460</c:v>
                </c:pt>
                <c:pt idx="2108">
                  <c:v>-3948</c:v>
                </c:pt>
                <c:pt idx="2109">
                  <c:v>-3478</c:v>
                </c:pt>
                <c:pt idx="2110">
                  <c:v>-3156</c:v>
                </c:pt>
                <c:pt idx="2111">
                  <c:v>-2597</c:v>
                </c:pt>
                <c:pt idx="2112">
                  <c:v>-2032</c:v>
                </c:pt>
                <c:pt idx="2113">
                  <c:v>-1458</c:v>
                </c:pt>
                <c:pt idx="2114" formatCode="General">
                  <c:v>0.878</c:v>
                </c:pt>
                <c:pt idx="2115" formatCode="General">
                  <c:v>0.29299999999999998</c:v>
                </c:pt>
                <c:pt idx="2116" formatCode="General">
                  <c:v>0.29299999999999998</c:v>
                </c:pt>
                <c:pt idx="2117" formatCode="General">
                  <c:v>0.878</c:v>
                </c:pt>
                <c:pt idx="2118">
                  <c:v>1459</c:v>
                </c:pt>
                <c:pt idx="2119">
                  <c:v>2306</c:v>
                </c:pt>
                <c:pt idx="2120">
                  <c:v>2874</c:v>
                </c:pt>
                <c:pt idx="2121">
                  <c:v>3420</c:v>
                </c:pt>
                <c:pt idx="2122">
                  <c:v>3938</c:v>
                </c:pt>
                <c:pt idx="2123">
                  <c:v>4707</c:v>
                </c:pt>
                <c:pt idx="2124">
                  <c:v>5416</c:v>
                </c:pt>
                <c:pt idx="2125">
                  <c:v>6069</c:v>
                </c:pt>
                <c:pt idx="2126">
                  <c:v>6658</c:v>
                </c:pt>
                <c:pt idx="2127">
                  <c:v>7177</c:v>
                </c:pt>
                <c:pt idx="2128">
                  <c:v>7620</c:v>
                </c:pt>
                <c:pt idx="2129">
                  <c:v>7984</c:v>
                </c:pt>
                <c:pt idx="2130">
                  <c:v>8268</c:v>
                </c:pt>
                <c:pt idx="2131">
                  <c:v>8404</c:v>
                </c:pt>
                <c:pt idx="2132">
                  <c:v>8502</c:v>
                </c:pt>
                <c:pt idx="2133">
                  <c:v>8579</c:v>
                </c:pt>
                <c:pt idx="2134">
                  <c:v>8584</c:v>
                </c:pt>
                <c:pt idx="2135">
                  <c:v>9600</c:v>
                </c:pt>
                <c:pt idx="2136">
                  <c:v>-9600</c:v>
                </c:pt>
                <c:pt idx="2137">
                  <c:v>-9596</c:v>
                </c:pt>
                <c:pt idx="2138">
                  <c:v>-9578</c:v>
                </c:pt>
                <c:pt idx="2139">
                  <c:v>-9510</c:v>
                </c:pt>
                <c:pt idx="2140">
                  <c:v>-9399</c:v>
                </c:pt>
                <c:pt idx="2141">
                  <c:v>-9244</c:v>
                </c:pt>
                <c:pt idx="2142">
                  <c:v>-9045</c:v>
                </c:pt>
                <c:pt idx="2143">
                  <c:v>-8806</c:v>
                </c:pt>
                <c:pt idx="2144">
                  <c:v>-8367</c:v>
                </c:pt>
                <c:pt idx="2145">
                  <c:v>-7841</c:v>
                </c:pt>
                <c:pt idx="2146">
                  <c:v>-7447</c:v>
                </c:pt>
                <c:pt idx="2147">
                  <c:v>-7016</c:v>
                </c:pt>
                <c:pt idx="2148">
                  <c:v>-6552</c:v>
                </c:pt>
                <c:pt idx="2149">
                  <c:v>-6058</c:v>
                </c:pt>
                <c:pt idx="2150">
                  <c:v>-5536</c:v>
                </c:pt>
                <c:pt idx="2151">
                  <c:v>-4988</c:v>
                </c:pt>
                <c:pt idx="2152">
                  <c:v>-4416</c:v>
                </c:pt>
                <c:pt idx="2153">
                  <c:v>-3894</c:v>
                </c:pt>
                <c:pt idx="2154">
                  <c:v>-3524</c:v>
                </c:pt>
                <c:pt idx="2155">
                  <c:v>-2904</c:v>
                </c:pt>
                <c:pt idx="2156">
                  <c:v>-2273</c:v>
                </c:pt>
                <c:pt idx="2157">
                  <c:v>-1631</c:v>
                </c:pt>
                <c:pt idx="2158" formatCode="General">
                  <c:v>0.98199999999999998</c:v>
                </c:pt>
                <c:pt idx="2159" formatCode="General">
                  <c:v>0.32800000000000001</c:v>
                </c:pt>
                <c:pt idx="2160" formatCode="General">
                  <c:v>0.32800000000000001</c:v>
                </c:pt>
                <c:pt idx="2161" formatCode="General">
                  <c:v>0.98199999999999998</c:v>
                </c:pt>
                <c:pt idx="2162">
                  <c:v>1631</c:v>
                </c:pt>
                <c:pt idx="2163">
                  <c:v>2587</c:v>
                </c:pt>
                <c:pt idx="2164">
                  <c:v>3215</c:v>
                </c:pt>
                <c:pt idx="2165">
                  <c:v>3825</c:v>
                </c:pt>
                <c:pt idx="2166">
                  <c:v>4413</c:v>
                </c:pt>
                <c:pt idx="2167">
                  <c:v>5265</c:v>
                </c:pt>
                <c:pt idx="2168">
                  <c:v>6058</c:v>
                </c:pt>
                <c:pt idx="2169">
                  <c:v>6788</c:v>
                </c:pt>
                <c:pt idx="2170">
                  <c:v>7446</c:v>
                </c:pt>
                <c:pt idx="2171">
                  <c:v>8027</c:v>
                </c:pt>
                <c:pt idx="2172">
                  <c:v>8523</c:v>
                </c:pt>
                <c:pt idx="2173">
                  <c:v>8930</c:v>
                </c:pt>
                <c:pt idx="2174">
                  <c:v>9245</c:v>
                </c:pt>
                <c:pt idx="2175">
                  <c:v>9399</c:v>
                </c:pt>
                <c:pt idx="2176">
                  <c:v>9510</c:v>
                </c:pt>
                <c:pt idx="2177">
                  <c:v>9594</c:v>
                </c:pt>
                <c:pt idx="2178">
                  <c:v>9600</c:v>
                </c:pt>
                <c:pt idx="2179">
                  <c:v>8906</c:v>
                </c:pt>
                <c:pt idx="2180">
                  <c:v>6588</c:v>
                </c:pt>
                <c:pt idx="2181">
                  <c:v>-6391</c:v>
                </c:pt>
                <c:pt idx="2182">
                  <c:v>3522</c:v>
                </c:pt>
                <c:pt idx="2183">
                  <c:v>3081</c:v>
                </c:pt>
                <c:pt idx="2184">
                  <c:v>2602</c:v>
                </c:pt>
                <c:pt idx="2185">
                  <c:v>2059</c:v>
                </c:pt>
                <c:pt idx="2186">
                  <c:v>1733</c:v>
                </c:pt>
                <c:pt idx="2187">
                  <c:v>1376</c:v>
                </c:pt>
                <c:pt idx="2188" formatCode="General">
                  <c:v>0.78900000000000003</c:v>
                </c:pt>
                <c:pt idx="2189" formatCode="General">
                  <c:v>0.40899999999999997</c:v>
                </c:pt>
                <c:pt idx="2190" formatCode="General">
                  <c:v>1.4999999999999999E-2</c:v>
                </c:pt>
                <c:pt idx="2191" formatCode="General">
                  <c:v>0.38</c:v>
                </c:pt>
                <c:pt idx="2192" formatCode="General">
                  <c:v>0.77600000000000002</c:v>
                </c:pt>
                <c:pt idx="2193">
                  <c:v>-1171</c:v>
                </c:pt>
                <c:pt idx="2194">
                  <c:v>-1563</c:v>
                </c:pt>
                <c:pt idx="2195">
                  <c:v>-1951</c:v>
                </c:pt>
                <c:pt idx="2196">
                  <c:v>-2318</c:v>
                </c:pt>
                <c:pt idx="2197">
                  <c:v>-2939</c:v>
                </c:pt>
                <c:pt idx="2198">
                  <c:v>-3592</c:v>
                </c:pt>
                <c:pt idx="2199">
                  <c:v>-3923</c:v>
                </c:pt>
                <c:pt idx="2200">
                  <c:v>-4239</c:v>
                </c:pt>
                <c:pt idx="2201">
                  <c:v>-4537</c:v>
                </c:pt>
                <c:pt idx="2202">
                  <c:v>-4817</c:v>
                </c:pt>
                <c:pt idx="2203">
                  <c:v>-5077</c:v>
                </c:pt>
                <c:pt idx="2204">
                  <c:v>-5295</c:v>
                </c:pt>
                <c:pt idx="2205">
                  <c:v>-5631</c:v>
                </c:pt>
                <c:pt idx="2206">
                  <c:v>-5911</c:v>
                </c:pt>
                <c:pt idx="2207">
                  <c:v>-6044</c:v>
                </c:pt>
                <c:pt idx="2208">
                  <c:v>-6163</c:v>
                </c:pt>
                <c:pt idx="2209">
                  <c:v>-6257</c:v>
                </c:pt>
                <c:pt idx="2210">
                  <c:v>-6322</c:v>
                </c:pt>
                <c:pt idx="2211">
                  <c:v>-6377</c:v>
                </c:pt>
                <c:pt idx="2212">
                  <c:v>-6379</c:v>
                </c:pt>
                <c:pt idx="2213">
                  <c:v>4677</c:v>
                </c:pt>
                <c:pt idx="2214">
                  <c:v>4677</c:v>
                </c:pt>
                <c:pt idx="2215">
                  <c:v>7287</c:v>
                </c:pt>
                <c:pt idx="2216">
                  <c:v>-7288</c:v>
                </c:pt>
                <c:pt idx="2217">
                  <c:v>-7284</c:v>
                </c:pt>
                <c:pt idx="2218">
                  <c:v>-7219</c:v>
                </c:pt>
                <c:pt idx="2219">
                  <c:v>-7135</c:v>
                </c:pt>
                <c:pt idx="2220">
                  <c:v>-7017</c:v>
                </c:pt>
                <c:pt idx="2221">
                  <c:v>-6866</c:v>
                </c:pt>
                <c:pt idx="2222">
                  <c:v>-6588</c:v>
                </c:pt>
                <c:pt idx="2223">
                  <c:v>-6363</c:v>
                </c:pt>
                <c:pt idx="2224">
                  <c:v>-5939</c:v>
                </c:pt>
                <c:pt idx="2225">
                  <c:v>-5653</c:v>
                </c:pt>
                <c:pt idx="2226">
                  <c:v>-5326</c:v>
                </c:pt>
                <c:pt idx="2227">
                  <c:v>-4974</c:v>
                </c:pt>
                <c:pt idx="2228">
                  <c:v>-4599</c:v>
                </c:pt>
                <c:pt idx="2229">
                  <c:v>-4202</c:v>
                </c:pt>
                <c:pt idx="2230">
                  <c:v>-3786</c:v>
                </c:pt>
                <c:pt idx="2231">
                  <c:v>-3353</c:v>
                </c:pt>
                <c:pt idx="2232">
                  <c:v>-2903</c:v>
                </c:pt>
                <c:pt idx="2233">
                  <c:v>-2438</c:v>
                </c:pt>
                <c:pt idx="2234">
                  <c:v>-1741</c:v>
                </c:pt>
                <c:pt idx="2235">
                  <c:v>-1238</c:v>
                </c:pt>
                <c:pt idx="2236" formatCode="General">
                  <c:v>0.745</c:v>
                </c:pt>
                <c:pt idx="2237" formatCode="General">
                  <c:v>0.249</c:v>
                </c:pt>
                <c:pt idx="2238" formatCode="General">
                  <c:v>0.249</c:v>
                </c:pt>
                <c:pt idx="2239" formatCode="General">
                  <c:v>0.745</c:v>
                </c:pt>
                <c:pt idx="2240">
                  <c:v>1238</c:v>
                </c:pt>
                <c:pt idx="2241">
                  <c:v>1703</c:v>
                </c:pt>
                <c:pt idx="2242">
                  <c:v>2462</c:v>
                </c:pt>
                <c:pt idx="2243">
                  <c:v>2903</c:v>
                </c:pt>
                <c:pt idx="2244">
                  <c:v>3332</c:v>
                </c:pt>
                <c:pt idx="2245">
                  <c:v>3996</c:v>
                </c:pt>
                <c:pt idx="2246">
                  <c:v>4598</c:v>
                </c:pt>
                <c:pt idx="2247">
                  <c:v>5151</c:v>
                </c:pt>
                <c:pt idx="2248">
                  <c:v>5651</c:v>
                </c:pt>
                <c:pt idx="2249">
                  <c:v>6092</c:v>
                </c:pt>
                <c:pt idx="2250">
                  <c:v>6468</c:v>
                </c:pt>
                <c:pt idx="2251">
                  <c:v>6777</c:v>
                </c:pt>
                <c:pt idx="2252">
                  <c:v>7015</c:v>
                </c:pt>
                <c:pt idx="2253">
                  <c:v>7184</c:v>
                </c:pt>
                <c:pt idx="2254">
                  <c:v>7249</c:v>
                </c:pt>
                <c:pt idx="2255">
                  <c:v>7283</c:v>
                </c:pt>
                <c:pt idx="2256">
                  <c:v>7287</c:v>
                </c:pt>
                <c:pt idx="2257">
                  <c:v>8584</c:v>
                </c:pt>
                <c:pt idx="2258">
                  <c:v>-8584</c:v>
                </c:pt>
                <c:pt idx="2259">
                  <c:v>-8580</c:v>
                </c:pt>
                <c:pt idx="2260">
                  <c:v>-8504</c:v>
                </c:pt>
                <c:pt idx="2261">
                  <c:v>-8404</c:v>
                </c:pt>
                <c:pt idx="2262">
                  <c:v>-8265</c:v>
                </c:pt>
                <c:pt idx="2263">
                  <c:v>-8088</c:v>
                </c:pt>
                <c:pt idx="2264">
                  <c:v>-7755</c:v>
                </c:pt>
                <c:pt idx="2265">
                  <c:v>-7488</c:v>
                </c:pt>
                <c:pt idx="2266">
                  <c:v>-7005</c:v>
                </c:pt>
                <c:pt idx="2267">
                  <c:v>-6658</c:v>
                </c:pt>
                <c:pt idx="2268">
                  <c:v>-6273</c:v>
                </c:pt>
                <c:pt idx="2269">
                  <c:v>-5859</c:v>
                </c:pt>
                <c:pt idx="2270">
                  <c:v>-5417</c:v>
                </c:pt>
                <c:pt idx="2271">
                  <c:v>-4950</c:v>
                </c:pt>
                <c:pt idx="2272">
                  <c:v>-4460</c:v>
                </c:pt>
                <c:pt idx="2273">
                  <c:v>-3949</c:v>
                </c:pt>
                <c:pt idx="2274">
                  <c:v>-3420</c:v>
                </c:pt>
                <c:pt idx="2275">
                  <c:v>-2873</c:v>
                </c:pt>
                <c:pt idx="2276">
                  <c:v>-2041</c:v>
                </c:pt>
                <c:pt idx="2277">
                  <c:v>-1458</c:v>
                </c:pt>
                <c:pt idx="2278" formatCode="General">
                  <c:v>0.878</c:v>
                </c:pt>
                <c:pt idx="2279" formatCode="General">
                  <c:v>0.29299999999999998</c:v>
                </c:pt>
                <c:pt idx="2280" formatCode="General">
                  <c:v>0.29299999999999998</c:v>
                </c:pt>
                <c:pt idx="2281" formatCode="General">
                  <c:v>0.878</c:v>
                </c:pt>
                <c:pt idx="2282">
                  <c:v>1458</c:v>
                </c:pt>
                <c:pt idx="2283">
                  <c:v>2020</c:v>
                </c:pt>
                <c:pt idx="2284">
                  <c:v>2886</c:v>
                </c:pt>
                <c:pt idx="2285">
                  <c:v>3420</c:v>
                </c:pt>
                <c:pt idx="2286">
                  <c:v>3938</c:v>
                </c:pt>
                <c:pt idx="2287">
                  <c:v>4707</c:v>
                </c:pt>
                <c:pt idx="2288">
                  <c:v>5416</c:v>
                </c:pt>
                <c:pt idx="2289">
                  <c:v>6069</c:v>
                </c:pt>
                <c:pt idx="2290">
                  <c:v>6658</c:v>
                </c:pt>
                <c:pt idx="2291">
                  <c:v>7177</c:v>
                </c:pt>
                <c:pt idx="2292">
                  <c:v>7620</c:v>
                </c:pt>
                <c:pt idx="2293">
                  <c:v>7984</c:v>
                </c:pt>
                <c:pt idx="2294">
                  <c:v>8264</c:v>
                </c:pt>
                <c:pt idx="2295">
                  <c:v>8460</c:v>
                </c:pt>
                <c:pt idx="2296">
                  <c:v>8539</c:v>
                </c:pt>
                <c:pt idx="2297">
                  <c:v>8579</c:v>
                </c:pt>
                <c:pt idx="2298">
                  <c:v>8584</c:v>
                </c:pt>
                <c:pt idx="2299">
                  <c:v>9600</c:v>
                </c:pt>
                <c:pt idx="2300">
                  <c:v>-9600</c:v>
                </c:pt>
                <c:pt idx="2301">
                  <c:v>-9595</c:v>
                </c:pt>
                <c:pt idx="2302">
                  <c:v>-9578</c:v>
                </c:pt>
                <c:pt idx="2303">
                  <c:v>-9510</c:v>
                </c:pt>
                <c:pt idx="2304">
                  <c:v>-9399</c:v>
                </c:pt>
                <c:pt idx="2305">
                  <c:v>-9244</c:v>
                </c:pt>
                <c:pt idx="2306">
                  <c:v>-9045</c:v>
                </c:pt>
                <c:pt idx="2307">
                  <c:v>-8670</c:v>
                </c:pt>
                <c:pt idx="2308">
                  <c:v>-8369</c:v>
                </c:pt>
                <c:pt idx="2309">
                  <c:v>-7841</c:v>
                </c:pt>
                <c:pt idx="2310">
                  <c:v>-7447</c:v>
                </c:pt>
                <c:pt idx="2311">
                  <c:v>-7016</c:v>
                </c:pt>
                <c:pt idx="2312">
                  <c:v>-6552</c:v>
                </c:pt>
                <c:pt idx="2313">
                  <c:v>-6058</c:v>
                </c:pt>
                <c:pt idx="2314">
                  <c:v>-5536</c:v>
                </c:pt>
                <c:pt idx="2315">
                  <c:v>-4988</c:v>
                </c:pt>
                <c:pt idx="2316">
                  <c:v>-4417</c:v>
                </c:pt>
                <c:pt idx="2317">
                  <c:v>-3825</c:v>
                </c:pt>
                <c:pt idx="2318">
                  <c:v>-3214</c:v>
                </c:pt>
                <c:pt idx="2319">
                  <c:v>-2275</c:v>
                </c:pt>
                <c:pt idx="2320">
                  <c:v>-1631</c:v>
                </c:pt>
                <c:pt idx="2321" formatCode="General">
                  <c:v>0.98199999999999998</c:v>
                </c:pt>
                <c:pt idx="2322" formatCode="General">
                  <c:v>0.32800000000000001</c:v>
                </c:pt>
                <c:pt idx="2323" formatCode="General">
                  <c:v>0.32800000000000001</c:v>
                </c:pt>
                <c:pt idx="2324" formatCode="General">
                  <c:v>0.98199999999999998</c:v>
                </c:pt>
                <c:pt idx="2325">
                  <c:v>1631</c:v>
                </c:pt>
                <c:pt idx="2326">
                  <c:v>2270</c:v>
                </c:pt>
                <c:pt idx="2327">
                  <c:v>3218</c:v>
                </c:pt>
                <c:pt idx="2328">
                  <c:v>3825</c:v>
                </c:pt>
                <c:pt idx="2329">
                  <c:v>4413</c:v>
                </c:pt>
                <c:pt idx="2330">
                  <c:v>5265</c:v>
                </c:pt>
                <c:pt idx="2331">
                  <c:v>6058</c:v>
                </c:pt>
                <c:pt idx="2332">
                  <c:v>6788</c:v>
                </c:pt>
                <c:pt idx="2333">
                  <c:v>7446</c:v>
                </c:pt>
                <c:pt idx="2334">
                  <c:v>8027</c:v>
                </c:pt>
                <c:pt idx="2335">
                  <c:v>8523</c:v>
                </c:pt>
                <c:pt idx="2336">
                  <c:v>8930</c:v>
                </c:pt>
                <c:pt idx="2337">
                  <c:v>9243</c:v>
                </c:pt>
                <c:pt idx="2338">
                  <c:v>9461</c:v>
                </c:pt>
                <c:pt idx="2339">
                  <c:v>9549</c:v>
                </c:pt>
                <c:pt idx="2340">
                  <c:v>9594</c:v>
                </c:pt>
                <c:pt idx="2341">
                  <c:v>9600</c:v>
                </c:pt>
                <c:pt idx="2342">
                  <c:v>8906</c:v>
                </c:pt>
                <c:pt idx="2343">
                  <c:v>6588</c:v>
                </c:pt>
                <c:pt idx="2344">
                  <c:v>-6391</c:v>
                </c:pt>
                <c:pt idx="2345">
                  <c:v>3522</c:v>
                </c:pt>
                <c:pt idx="2346">
                  <c:v>3081</c:v>
                </c:pt>
                <c:pt idx="2347">
                  <c:v>2602</c:v>
                </c:pt>
                <c:pt idx="2348">
                  <c:v>2059</c:v>
                </c:pt>
                <c:pt idx="2349">
                  <c:v>1733</c:v>
                </c:pt>
                <c:pt idx="2350">
                  <c:v>1398</c:v>
                </c:pt>
                <c:pt idx="2351" formatCode="General">
                  <c:v>0.76100000000000001</c:v>
                </c:pt>
                <c:pt idx="2352" formatCode="General">
                  <c:v>0.40799999999999997</c:v>
                </c:pt>
                <c:pt idx="2353" formatCode="General">
                  <c:v>1.4999999999999999E-2</c:v>
                </c:pt>
                <c:pt idx="2354" formatCode="General">
                  <c:v>0.38</c:v>
                </c:pt>
                <c:pt idx="2355" formatCode="General">
                  <c:v>0.77600000000000002</c:v>
                </c:pt>
                <c:pt idx="2356">
                  <c:v>-1171</c:v>
                </c:pt>
                <c:pt idx="2357">
                  <c:v>-1549</c:v>
                </c:pt>
                <c:pt idx="2358">
                  <c:v>-2180</c:v>
                </c:pt>
                <c:pt idx="2359">
                  <c:v>-2889</c:v>
                </c:pt>
                <c:pt idx="2360">
                  <c:v>-3246</c:v>
                </c:pt>
                <c:pt idx="2361">
                  <c:v>-3592</c:v>
                </c:pt>
                <c:pt idx="2362">
                  <c:v>-3923</c:v>
                </c:pt>
                <c:pt idx="2363">
                  <c:v>-4239</c:v>
                </c:pt>
                <c:pt idx="2364">
                  <c:v>-4537</c:v>
                </c:pt>
                <c:pt idx="2365">
                  <c:v>-4817</c:v>
                </c:pt>
                <c:pt idx="2366">
                  <c:v>-5077</c:v>
                </c:pt>
                <c:pt idx="2367">
                  <c:v>-5295</c:v>
                </c:pt>
                <c:pt idx="2368">
                  <c:v>-5643</c:v>
                </c:pt>
                <c:pt idx="2369">
                  <c:v>-5913</c:v>
                </c:pt>
                <c:pt idx="2370">
                  <c:v>-6043</c:v>
                </c:pt>
                <c:pt idx="2371">
                  <c:v>-6163</c:v>
                </c:pt>
                <c:pt idx="2372">
                  <c:v>-6257</c:v>
                </c:pt>
                <c:pt idx="2373">
                  <c:v>-6322</c:v>
                </c:pt>
                <c:pt idx="2374">
                  <c:v>-6376</c:v>
                </c:pt>
                <c:pt idx="2375">
                  <c:v>-6379</c:v>
                </c:pt>
                <c:pt idx="2376">
                  <c:v>4677</c:v>
                </c:pt>
                <c:pt idx="2377">
                  <c:v>4677</c:v>
                </c:pt>
                <c:pt idx="2378">
                  <c:v>7287</c:v>
                </c:pt>
                <c:pt idx="2379">
                  <c:v>-7287</c:v>
                </c:pt>
                <c:pt idx="2380">
                  <c:v>-7284</c:v>
                </c:pt>
                <c:pt idx="2381">
                  <c:v>-7219</c:v>
                </c:pt>
                <c:pt idx="2382">
                  <c:v>-7135</c:v>
                </c:pt>
                <c:pt idx="2383">
                  <c:v>-7017</c:v>
                </c:pt>
                <c:pt idx="2384">
                  <c:v>-6866</c:v>
                </c:pt>
                <c:pt idx="2385">
                  <c:v>-6589</c:v>
                </c:pt>
                <c:pt idx="2386">
                  <c:v>-6352</c:v>
                </c:pt>
                <c:pt idx="2387">
                  <c:v>-6093</c:v>
                </c:pt>
                <c:pt idx="2388">
                  <c:v>-5806</c:v>
                </c:pt>
                <c:pt idx="2389">
                  <c:v>-5492</c:v>
                </c:pt>
                <c:pt idx="2390">
                  <c:v>-5161</c:v>
                </c:pt>
                <c:pt idx="2391">
                  <c:v>-4599</c:v>
                </c:pt>
                <c:pt idx="2392">
                  <c:v>-4202</c:v>
                </c:pt>
                <c:pt idx="2393">
                  <c:v>-3786</c:v>
                </c:pt>
                <c:pt idx="2394">
                  <c:v>-3353</c:v>
                </c:pt>
                <c:pt idx="2395">
                  <c:v>-2903</c:v>
                </c:pt>
                <c:pt idx="2396">
                  <c:v>-2440</c:v>
                </c:pt>
                <c:pt idx="2397">
                  <c:v>-1988</c:v>
                </c:pt>
                <c:pt idx="2398">
                  <c:v>-1215</c:v>
                </c:pt>
                <c:pt idx="2399" formatCode="General">
                  <c:v>0.745</c:v>
                </c:pt>
                <c:pt idx="2400" formatCode="General">
                  <c:v>0.249</c:v>
                </c:pt>
                <c:pt idx="2401" formatCode="General">
                  <c:v>0.249</c:v>
                </c:pt>
                <c:pt idx="2402" formatCode="General">
                  <c:v>0.745</c:v>
                </c:pt>
                <c:pt idx="2403">
                  <c:v>1238</c:v>
                </c:pt>
                <c:pt idx="2404">
                  <c:v>1703</c:v>
                </c:pt>
                <c:pt idx="2405">
                  <c:v>2462</c:v>
                </c:pt>
                <c:pt idx="2406">
                  <c:v>2903</c:v>
                </c:pt>
                <c:pt idx="2407">
                  <c:v>3332</c:v>
                </c:pt>
                <c:pt idx="2408">
                  <c:v>3996</c:v>
                </c:pt>
                <c:pt idx="2409">
                  <c:v>4598</c:v>
                </c:pt>
                <c:pt idx="2410">
                  <c:v>5151</c:v>
                </c:pt>
                <c:pt idx="2411">
                  <c:v>5651</c:v>
                </c:pt>
                <c:pt idx="2412">
                  <c:v>6092</c:v>
                </c:pt>
                <c:pt idx="2413">
                  <c:v>6468</c:v>
                </c:pt>
                <c:pt idx="2414">
                  <c:v>6777</c:v>
                </c:pt>
                <c:pt idx="2415">
                  <c:v>7015</c:v>
                </c:pt>
                <c:pt idx="2416">
                  <c:v>7184</c:v>
                </c:pt>
                <c:pt idx="2417">
                  <c:v>7249</c:v>
                </c:pt>
                <c:pt idx="2418">
                  <c:v>7283</c:v>
                </c:pt>
                <c:pt idx="2419">
                  <c:v>7287</c:v>
                </c:pt>
                <c:pt idx="2420">
                  <c:v>8584</c:v>
                </c:pt>
                <c:pt idx="2421">
                  <c:v>-8584</c:v>
                </c:pt>
                <c:pt idx="2422">
                  <c:v>-8579</c:v>
                </c:pt>
                <c:pt idx="2423">
                  <c:v>-8504</c:v>
                </c:pt>
                <c:pt idx="2424">
                  <c:v>-8404</c:v>
                </c:pt>
                <c:pt idx="2425">
                  <c:v>-8265</c:v>
                </c:pt>
                <c:pt idx="2426">
                  <c:v>-8088</c:v>
                </c:pt>
                <c:pt idx="2427">
                  <c:v>-7756</c:v>
                </c:pt>
                <c:pt idx="2428">
                  <c:v>-7482</c:v>
                </c:pt>
                <c:pt idx="2429">
                  <c:v>-7177</c:v>
                </c:pt>
                <c:pt idx="2430">
                  <c:v>-6839</c:v>
                </c:pt>
                <c:pt idx="2431">
                  <c:v>-6469</c:v>
                </c:pt>
                <c:pt idx="2432">
                  <c:v>-6087</c:v>
                </c:pt>
                <c:pt idx="2433">
                  <c:v>-5417</c:v>
                </c:pt>
                <c:pt idx="2434">
                  <c:v>-4950</c:v>
                </c:pt>
                <c:pt idx="2435">
                  <c:v>-4460</c:v>
                </c:pt>
                <c:pt idx="2436">
                  <c:v>-3949</c:v>
                </c:pt>
                <c:pt idx="2437">
                  <c:v>-3420</c:v>
                </c:pt>
                <c:pt idx="2438">
                  <c:v>-2874</c:v>
                </c:pt>
                <c:pt idx="2439">
                  <c:v>-2327</c:v>
                </c:pt>
                <c:pt idx="2440">
                  <c:v>-1446</c:v>
                </c:pt>
                <c:pt idx="2441" formatCode="General">
                  <c:v>0.878</c:v>
                </c:pt>
                <c:pt idx="2442" formatCode="General">
                  <c:v>0.29299999999999998</c:v>
                </c:pt>
                <c:pt idx="2443" formatCode="General">
                  <c:v>0.29299999999999998</c:v>
                </c:pt>
                <c:pt idx="2444" formatCode="General">
                  <c:v>0.878</c:v>
                </c:pt>
                <c:pt idx="2445">
                  <c:v>1458</c:v>
                </c:pt>
                <c:pt idx="2446">
                  <c:v>2020</c:v>
                </c:pt>
                <c:pt idx="2447">
                  <c:v>2886</c:v>
                </c:pt>
                <c:pt idx="2448">
                  <c:v>3420</c:v>
                </c:pt>
                <c:pt idx="2449">
                  <c:v>3938</c:v>
                </c:pt>
                <c:pt idx="2450">
                  <c:v>4707</c:v>
                </c:pt>
                <c:pt idx="2451">
                  <c:v>5416</c:v>
                </c:pt>
                <c:pt idx="2452">
                  <c:v>6069</c:v>
                </c:pt>
                <c:pt idx="2453">
                  <c:v>6658</c:v>
                </c:pt>
                <c:pt idx="2454">
                  <c:v>7177</c:v>
                </c:pt>
                <c:pt idx="2455">
                  <c:v>7620</c:v>
                </c:pt>
                <c:pt idx="2456">
                  <c:v>7984</c:v>
                </c:pt>
                <c:pt idx="2457">
                  <c:v>8264</c:v>
                </c:pt>
                <c:pt idx="2458">
                  <c:v>8460</c:v>
                </c:pt>
                <c:pt idx="2459">
                  <c:v>8539</c:v>
                </c:pt>
                <c:pt idx="2460">
                  <c:v>8579</c:v>
                </c:pt>
                <c:pt idx="2461">
                  <c:v>8584</c:v>
                </c:pt>
                <c:pt idx="2462">
                  <c:v>9600</c:v>
                </c:pt>
                <c:pt idx="2463">
                  <c:v>-9600</c:v>
                </c:pt>
                <c:pt idx="2464">
                  <c:v>-9595</c:v>
                </c:pt>
                <c:pt idx="2465">
                  <c:v>-9578</c:v>
                </c:pt>
                <c:pt idx="2466">
                  <c:v>-9510</c:v>
                </c:pt>
                <c:pt idx="2467">
                  <c:v>-9399</c:v>
                </c:pt>
                <c:pt idx="2468">
                  <c:v>-9244</c:v>
                </c:pt>
                <c:pt idx="2469">
                  <c:v>-9045</c:v>
                </c:pt>
                <c:pt idx="2470">
                  <c:v>-8671</c:v>
                </c:pt>
                <c:pt idx="2471">
                  <c:v>-8368</c:v>
                </c:pt>
                <c:pt idx="2472">
                  <c:v>-8027</c:v>
                </c:pt>
                <c:pt idx="2473">
                  <c:v>-7649</c:v>
                </c:pt>
                <c:pt idx="2474">
                  <c:v>-7235</c:v>
                </c:pt>
                <c:pt idx="2475">
                  <c:v>-6814</c:v>
                </c:pt>
                <c:pt idx="2476">
                  <c:v>-6554</c:v>
                </c:pt>
                <c:pt idx="2477">
                  <c:v>-6058</c:v>
                </c:pt>
                <c:pt idx="2478">
                  <c:v>-5536</c:v>
                </c:pt>
                <c:pt idx="2479">
                  <c:v>-4988</c:v>
                </c:pt>
                <c:pt idx="2480">
                  <c:v>-4417</c:v>
                </c:pt>
                <c:pt idx="2481">
                  <c:v>-3825</c:v>
                </c:pt>
                <c:pt idx="2482">
                  <c:v>-3215</c:v>
                </c:pt>
                <c:pt idx="2483">
                  <c:v>-2593</c:v>
                </c:pt>
                <c:pt idx="2484">
                  <c:v>-1628</c:v>
                </c:pt>
                <c:pt idx="2485" formatCode="General">
                  <c:v>0.98199999999999998</c:v>
                </c:pt>
                <c:pt idx="2486" formatCode="General">
                  <c:v>0.32800000000000001</c:v>
                </c:pt>
                <c:pt idx="2487" formatCode="General">
                  <c:v>0.32800000000000001</c:v>
                </c:pt>
                <c:pt idx="2488" formatCode="General">
                  <c:v>0.98199999999999998</c:v>
                </c:pt>
                <c:pt idx="2489">
                  <c:v>1631</c:v>
                </c:pt>
                <c:pt idx="2490">
                  <c:v>2270</c:v>
                </c:pt>
                <c:pt idx="2491">
                  <c:v>3218</c:v>
                </c:pt>
                <c:pt idx="2492">
                  <c:v>3825</c:v>
                </c:pt>
                <c:pt idx="2493">
                  <c:v>4413</c:v>
                </c:pt>
                <c:pt idx="2494">
                  <c:v>5265</c:v>
                </c:pt>
                <c:pt idx="2495">
                  <c:v>6058</c:v>
                </c:pt>
                <c:pt idx="2496">
                  <c:v>6788</c:v>
                </c:pt>
                <c:pt idx="2497">
                  <c:v>7446</c:v>
                </c:pt>
                <c:pt idx="2498">
                  <c:v>8027</c:v>
                </c:pt>
                <c:pt idx="2499">
                  <c:v>8523</c:v>
                </c:pt>
                <c:pt idx="2500">
                  <c:v>8930</c:v>
                </c:pt>
                <c:pt idx="2501">
                  <c:v>9243</c:v>
                </c:pt>
                <c:pt idx="2502">
                  <c:v>9461</c:v>
                </c:pt>
                <c:pt idx="2503">
                  <c:v>9549</c:v>
                </c:pt>
                <c:pt idx="2504">
                  <c:v>9594</c:v>
                </c:pt>
                <c:pt idx="2505">
                  <c:v>9600</c:v>
                </c:pt>
                <c:pt idx="2506">
                  <c:v>8906</c:v>
                </c:pt>
                <c:pt idx="2507">
                  <c:v>4810</c:v>
                </c:pt>
                <c:pt idx="2508">
                  <c:v>3973</c:v>
                </c:pt>
                <c:pt idx="2509">
                  <c:v>3502</c:v>
                </c:pt>
                <c:pt idx="2510">
                  <c:v>2989</c:v>
                </c:pt>
                <c:pt idx="2511">
                  <c:v>2412</c:v>
                </c:pt>
                <c:pt idx="2512">
                  <c:v>2058</c:v>
                </c:pt>
                <c:pt idx="2513">
                  <c:v>1694</c:v>
                </c:pt>
                <c:pt idx="2514">
                  <c:v>1097</c:v>
                </c:pt>
                <c:pt idx="2515">
                  <c:v>6433</c:v>
                </c:pt>
                <c:pt idx="2516">
                  <c:v>6572</c:v>
                </c:pt>
                <c:pt idx="2517">
                  <c:v>6628</c:v>
                </c:pt>
                <c:pt idx="2518" formatCode="General">
                  <c:v>0.34</c:v>
                </c:pt>
                <c:pt idx="2519">
                  <c:v>-1053</c:v>
                </c:pt>
                <c:pt idx="2520">
                  <c:v>-1493</c:v>
                </c:pt>
                <c:pt idx="2521">
                  <c:v>6628</c:v>
                </c:pt>
                <c:pt idx="2522">
                  <c:v>6629</c:v>
                </c:pt>
                <c:pt idx="2523">
                  <c:v>-2478</c:v>
                </c:pt>
                <c:pt idx="2524">
                  <c:v>-2928</c:v>
                </c:pt>
                <c:pt idx="2525">
                  <c:v>-3349</c:v>
                </c:pt>
                <c:pt idx="2526">
                  <c:v>6630</c:v>
                </c:pt>
                <c:pt idx="2527">
                  <c:v>6630</c:v>
                </c:pt>
                <c:pt idx="2528">
                  <c:v>-4112</c:v>
                </c:pt>
                <c:pt idx="2529">
                  <c:v>-4331</c:v>
                </c:pt>
                <c:pt idx="2530">
                  <c:v>-4784</c:v>
                </c:pt>
                <c:pt idx="2531">
                  <c:v>6631</c:v>
                </c:pt>
                <c:pt idx="2532">
                  <c:v>6631</c:v>
                </c:pt>
                <c:pt idx="2533">
                  <c:v>5434</c:v>
                </c:pt>
                <c:pt idx="2534">
                  <c:v>-5367</c:v>
                </c:pt>
                <c:pt idx="2535">
                  <c:v>-5500</c:v>
                </c:pt>
                <c:pt idx="2536">
                  <c:v>-5857</c:v>
                </c:pt>
                <c:pt idx="2537">
                  <c:v>4186</c:v>
                </c:pt>
                <c:pt idx="2538">
                  <c:v>2938</c:v>
                </c:pt>
                <c:pt idx="2539">
                  <c:v>-6250</c:v>
                </c:pt>
                <c:pt idx="2540">
                  <c:v>-6401</c:v>
                </c:pt>
                <c:pt idx="2541">
                  <c:v>-6519</c:v>
                </c:pt>
                <c:pt idx="2542">
                  <c:v>1690</c:v>
                </c:pt>
                <c:pt idx="2543" formatCode="General">
                  <c:v>0.443</c:v>
                </c:pt>
                <c:pt idx="2544">
                  <c:v>-6628</c:v>
                </c:pt>
                <c:pt idx="2545">
                  <c:v>-6629</c:v>
                </c:pt>
                <c:pt idx="2546" formatCode="General">
                  <c:v>0.80500000000000005</c:v>
                </c:pt>
                <c:pt idx="2547">
                  <c:v>-2053</c:v>
                </c:pt>
                <c:pt idx="2548">
                  <c:v>-6629</c:v>
                </c:pt>
                <c:pt idx="2549">
                  <c:v>-6630</c:v>
                </c:pt>
                <c:pt idx="2550">
                  <c:v>-3301</c:v>
                </c:pt>
                <c:pt idx="2551">
                  <c:v>-4549</c:v>
                </c:pt>
                <c:pt idx="2552">
                  <c:v>-6631</c:v>
                </c:pt>
                <c:pt idx="2553">
                  <c:v>-6631</c:v>
                </c:pt>
                <c:pt idx="2554">
                  <c:v>-5797</c:v>
                </c:pt>
                <c:pt idx="2555">
                  <c:v>-5797</c:v>
                </c:pt>
                <c:pt idx="2556">
                  <c:v>7287</c:v>
                </c:pt>
                <c:pt idx="2557">
                  <c:v>-7287</c:v>
                </c:pt>
                <c:pt idx="2558">
                  <c:v>-7283</c:v>
                </c:pt>
                <c:pt idx="2559">
                  <c:v>-7219</c:v>
                </c:pt>
                <c:pt idx="2560">
                  <c:v>-7135</c:v>
                </c:pt>
                <c:pt idx="2561">
                  <c:v>-7017</c:v>
                </c:pt>
                <c:pt idx="2562">
                  <c:v>-6866</c:v>
                </c:pt>
                <c:pt idx="2563">
                  <c:v>-6692</c:v>
                </c:pt>
                <c:pt idx="2564">
                  <c:v>-6350</c:v>
                </c:pt>
                <c:pt idx="2565">
                  <c:v>-5939</c:v>
                </c:pt>
                <c:pt idx="2566">
                  <c:v>-5653</c:v>
                </c:pt>
                <c:pt idx="2567">
                  <c:v>-5326</c:v>
                </c:pt>
                <c:pt idx="2568">
                  <c:v>-4974</c:v>
                </c:pt>
                <c:pt idx="2569">
                  <c:v>-4599</c:v>
                </c:pt>
                <c:pt idx="2570">
                  <c:v>-4202</c:v>
                </c:pt>
                <c:pt idx="2571">
                  <c:v>-3786</c:v>
                </c:pt>
                <c:pt idx="2572">
                  <c:v>-3353</c:v>
                </c:pt>
                <c:pt idx="2573">
                  <c:v>-2924</c:v>
                </c:pt>
                <c:pt idx="2574">
                  <c:v>-2182</c:v>
                </c:pt>
                <c:pt idx="2575">
                  <c:v>-1725</c:v>
                </c:pt>
                <c:pt idx="2576">
                  <c:v>-1238</c:v>
                </c:pt>
                <c:pt idx="2577" formatCode="General">
                  <c:v>0.745</c:v>
                </c:pt>
                <c:pt idx="2578" formatCode="General">
                  <c:v>0.249</c:v>
                </c:pt>
                <c:pt idx="2579" formatCode="General">
                  <c:v>0.249</c:v>
                </c:pt>
                <c:pt idx="2580" formatCode="General">
                  <c:v>0.745</c:v>
                </c:pt>
                <c:pt idx="2581">
                  <c:v>1238</c:v>
                </c:pt>
                <c:pt idx="2582">
                  <c:v>1703</c:v>
                </c:pt>
                <c:pt idx="2583">
                  <c:v>2462</c:v>
                </c:pt>
                <c:pt idx="2584">
                  <c:v>2903</c:v>
                </c:pt>
                <c:pt idx="2585">
                  <c:v>3332</c:v>
                </c:pt>
                <c:pt idx="2586">
                  <c:v>3996</c:v>
                </c:pt>
                <c:pt idx="2587">
                  <c:v>4598</c:v>
                </c:pt>
                <c:pt idx="2588">
                  <c:v>5151</c:v>
                </c:pt>
                <c:pt idx="2589">
                  <c:v>5651</c:v>
                </c:pt>
                <c:pt idx="2590">
                  <c:v>6092</c:v>
                </c:pt>
                <c:pt idx="2591">
                  <c:v>6468</c:v>
                </c:pt>
                <c:pt idx="2592">
                  <c:v>6777</c:v>
                </c:pt>
                <c:pt idx="2593">
                  <c:v>7015</c:v>
                </c:pt>
                <c:pt idx="2594">
                  <c:v>7184</c:v>
                </c:pt>
                <c:pt idx="2595">
                  <c:v>7249</c:v>
                </c:pt>
                <c:pt idx="2596">
                  <c:v>7283</c:v>
                </c:pt>
                <c:pt idx="2597">
                  <c:v>7287</c:v>
                </c:pt>
                <c:pt idx="2598">
                  <c:v>8584</c:v>
                </c:pt>
                <c:pt idx="2599">
                  <c:v>-8584</c:v>
                </c:pt>
                <c:pt idx="2600">
                  <c:v>-8579</c:v>
                </c:pt>
                <c:pt idx="2601">
                  <c:v>-8504</c:v>
                </c:pt>
                <c:pt idx="2602">
                  <c:v>-8404</c:v>
                </c:pt>
                <c:pt idx="2603">
                  <c:v>-8265</c:v>
                </c:pt>
                <c:pt idx="2604">
                  <c:v>-8088</c:v>
                </c:pt>
                <c:pt idx="2605">
                  <c:v>-7877</c:v>
                </c:pt>
                <c:pt idx="2606">
                  <c:v>-7481</c:v>
                </c:pt>
                <c:pt idx="2607">
                  <c:v>-7005</c:v>
                </c:pt>
                <c:pt idx="2608">
                  <c:v>-6658</c:v>
                </c:pt>
                <c:pt idx="2609">
                  <c:v>-6273</c:v>
                </c:pt>
                <c:pt idx="2610">
                  <c:v>-5859</c:v>
                </c:pt>
                <c:pt idx="2611">
                  <c:v>-5417</c:v>
                </c:pt>
                <c:pt idx="2612">
                  <c:v>-4950</c:v>
                </c:pt>
                <c:pt idx="2613">
                  <c:v>-4460</c:v>
                </c:pt>
                <c:pt idx="2614">
                  <c:v>-3949</c:v>
                </c:pt>
                <c:pt idx="2615">
                  <c:v>-3431</c:v>
                </c:pt>
                <c:pt idx="2616">
                  <c:v>-2585</c:v>
                </c:pt>
                <c:pt idx="2617">
                  <c:v>-2032</c:v>
                </c:pt>
                <c:pt idx="2618">
                  <c:v>-1458</c:v>
                </c:pt>
                <c:pt idx="2619" formatCode="General">
                  <c:v>0.878</c:v>
                </c:pt>
                <c:pt idx="2620" formatCode="General">
                  <c:v>0.29299999999999998</c:v>
                </c:pt>
                <c:pt idx="2621" formatCode="General">
                  <c:v>0.29299999999999998</c:v>
                </c:pt>
                <c:pt idx="2622" formatCode="General">
                  <c:v>0.878</c:v>
                </c:pt>
                <c:pt idx="2623">
                  <c:v>1458</c:v>
                </c:pt>
                <c:pt idx="2624">
                  <c:v>2020</c:v>
                </c:pt>
                <c:pt idx="2625">
                  <c:v>2886</c:v>
                </c:pt>
                <c:pt idx="2626">
                  <c:v>3420</c:v>
                </c:pt>
                <c:pt idx="2627">
                  <c:v>3938</c:v>
                </c:pt>
                <c:pt idx="2628">
                  <c:v>4707</c:v>
                </c:pt>
                <c:pt idx="2629">
                  <c:v>5416</c:v>
                </c:pt>
                <c:pt idx="2630">
                  <c:v>6069</c:v>
                </c:pt>
                <c:pt idx="2631">
                  <c:v>6658</c:v>
                </c:pt>
                <c:pt idx="2632">
                  <c:v>7177</c:v>
                </c:pt>
                <c:pt idx="2633">
                  <c:v>7620</c:v>
                </c:pt>
                <c:pt idx="2634">
                  <c:v>7984</c:v>
                </c:pt>
                <c:pt idx="2635">
                  <c:v>8264</c:v>
                </c:pt>
                <c:pt idx="2636">
                  <c:v>8460</c:v>
                </c:pt>
                <c:pt idx="2637">
                  <c:v>8539</c:v>
                </c:pt>
                <c:pt idx="2638">
                  <c:v>8579</c:v>
                </c:pt>
                <c:pt idx="2639">
                  <c:v>8584</c:v>
                </c:pt>
                <c:pt idx="2640">
                  <c:v>9600</c:v>
                </c:pt>
                <c:pt idx="2641">
                  <c:v>-9600</c:v>
                </c:pt>
                <c:pt idx="2642">
                  <c:v>-9595</c:v>
                </c:pt>
                <c:pt idx="2643">
                  <c:v>-9510</c:v>
                </c:pt>
                <c:pt idx="2644">
                  <c:v>-9399</c:v>
                </c:pt>
                <c:pt idx="2645">
                  <c:v>-9244</c:v>
                </c:pt>
                <c:pt idx="2646">
                  <c:v>-9045</c:v>
                </c:pt>
                <c:pt idx="2647">
                  <c:v>-8806</c:v>
                </c:pt>
                <c:pt idx="2648">
                  <c:v>-8367</c:v>
                </c:pt>
                <c:pt idx="2649">
                  <c:v>-7841</c:v>
                </c:pt>
                <c:pt idx="2650">
                  <c:v>-7447</c:v>
                </c:pt>
                <c:pt idx="2651">
                  <c:v>-7016</c:v>
                </c:pt>
                <c:pt idx="2652">
                  <c:v>-6552</c:v>
                </c:pt>
                <c:pt idx="2653">
                  <c:v>-6058</c:v>
                </c:pt>
                <c:pt idx="2654">
                  <c:v>-5536</c:v>
                </c:pt>
                <c:pt idx="2655">
                  <c:v>-4988</c:v>
                </c:pt>
                <c:pt idx="2656">
                  <c:v>-4417</c:v>
                </c:pt>
                <c:pt idx="2657">
                  <c:v>-3828</c:v>
                </c:pt>
                <c:pt idx="2658">
                  <c:v>-2901</c:v>
                </c:pt>
                <c:pt idx="2659">
                  <c:v>-2273</c:v>
                </c:pt>
                <c:pt idx="2660">
                  <c:v>-1631</c:v>
                </c:pt>
                <c:pt idx="2661" formatCode="General">
                  <c:v>0.98199999999999998</c:v>
                </c:pt>
                <c:pt idx="2662" formatCode="General">
                  <c:v>0.32800000000000001</c:v>
                </c:pt>
                <c:pt idx="2663" formatCode="General">
                  <c:v>0.32800000000000001</c:v>
                </c:pt>
                <c:pt idx="2664" formatCode="General">
                  <c:v>0.98199999999999998</c:v>
                </c:pt>
                <c:pt idx="2665">
                  <c:v>1631</c:v>
                </c:pt>
                <c:pt idx="2666">
                  <c:v>2270</c:v>
                </c:pt>
                <c:pt idx="2667">
                  <c:v>3218</c:v>
                </c:pt>
                <c:pt idx="2668">
                  <c:v>3825</c:v>
                </c:pt>
                <c:pt idx="2669">
                  <c:v>4413</c:v>
                </c:pt>
                <c:pt idx="2670">
                  <c:v>5265</c:v>
                </c:pt>
                <c:pt idx="2671">
                  <c:v>6058</c:v>
                </c:pt>
                <c:pt idx="2672">
                  <c:v>6788</c:v>
                </c:pt>
                <c:pt idx="2673">
                  <c:v>7446</c:v>
                </c:pt>
                <c:pt idx="2674">
                  <c:v>8027</c:v>
                </c:pt>
                <c:pt idx="2675">
                  <c:v>8523</c:v>
                </c:pt>
                <c:pt idx="2676">
                  <c:v>8930</c:v>
                </c:pt>
                <c:pt idx="2677">
                  <c:v>9243</c:v>
                </c:pt>
                <c:pt idx="2678">
                  <c:v>9461</c:v>
                </c:pt>
                <c:pt idx="2679">
                  <c:v>9549</c:v>
                </c:pt>
                <c:pt idx="2680">
                  <c:v>9594</c:v>
                </c:pt>
                <c:pt idx="2681">
                  <c:v>9600</c:v>
                </c:pt>
                <c:pt idx="2682">
                  <c:v>8906</c:v>
                </c:pt>
                <c:pt idx="2683">
                  <c:v>6495</c:v>
                </c:pt>
                <c:pt idx="2684">
                  <c:v>5487</c:v>
                </c:pt>
                <c:pt idx="2685">
                  <c:v>3628</c:v>
                </c:pt>
                <c:pt idx="2686">
                  <c:v>6494</c:v>
                </c:pt>
                <c:pt idx="2687">
                  <c:v>6493</c:v>
                </c:pt>
                <c:pt idx="2688">
                  <c:v>1768</c:v>
                </c:pt>
                <c:pt idx="2689" formatCode="General">
                  <c:v>9.0999999999999998E-2</c:v>
                </c:pt>
                <c:pt idx="2690">
                  <c:v>6492</c:v>
                </c:pt>
                <c:pt idx="2691">
                  <c:v>6491</c:v>
                </c:pt>
                <c:pt idx="2692">
                  <c:v>6463</c:v>
                </c:pt>
                <c:pt idx="2693">
                  <c:v>6412</c:v>
                </c:pt>
                <c:pt idx="2694">
                  <c:v>6343</c:v>
                </c:pt>
                <c:pt idx="2695">
                  <c:v>-1950</c:v>
                </c:pt>
                <c:pt idx="2696">
                  <c:v>-3809</c:v>
                </c:pt>
                <c:pt idx="2697">
                  <c:v>5860</c:v>
                </c:pt>
                <c:pt idx="2698">
                  <c:v>5511</c:v>
                </c:pt>
                <c:pt idx="2699">
                  <c:v>5131</c:v>
                </c:pt>
                <c:pt idx="2700">
                  <c:v>-5668</c:v>
                </c:pt>
                <c:pt idx="2701">
                  <c:v>-6495</c:v>
                </c:pt>
                <c:pt idx="2702">
                  <c:v>-6494</c:v>
                </c:pt>
                <c:pt idx="2703">
                  <c:v>4188</c:v>
                </c:pt>
                <c:pt idx="2704">
                  <c:v>3788</c:v>
                </c:pt>
                <c:pt idx="2705">
                  <c:v>3229</c:v>
                </c:pt>
                <c:pt idx="2706">
                  <c:v>3039</c:v>
                </c:pt>
                <c:pt idx="2707">
                  <c:v>-6493</c:v>
                </c:pt>
                <c:pt idx="2708">
                  <c:v>-6492</c:v>
                </c:pt>
                <c:pt idx="2709">
                  <c:v>1635</c:v>
                </c:pt>
                <c:pt idx="2710">
                  <c:v>1117</c:v>
                </c:pt>
                <c:pt idx="2711" formatCode="General">
                  <c:v>0.70799999999999996</c:v>
                </c:pt>
                <c:pt idx="2712" formatCode="General">
                  <c:v>0.29899999999999999</c:v>
                </c:pt>
                <c:pt idx="2713" formatCode="General">
                  <c:v>0.15</c:v>
                </c:pt>
                <c:pt idx="2714">
                  <c:v>-6451</c:v>
                </c:pt>
                <c:pt idx="2715">
                  <c:v>-6369</c:v>
                </c:pt>
                <c:pt idx="2716">
                  <c:v>-6273</c:v>
                </c:pt>
                <c:pt idx="2717">
                  <c:v>-6149</c:v>
                </c:pt>
                <c:pt idx="2718">
                  <c:v>-6011</c:v>
                </c:pt>
                <c:pt idx="2719">
                  <c:v>-5723</c:v>
                </c:pt>
                <c:pt idx="2720">
                  <c:v>-5378</c:v>
                </c:pt>
                <c:pt idx="2721">
                  <c:v>-5151</c:v>
                </c:pt>
                <c:pt idx="2722">
                  <c:v>-4883</c:v>
                </c:pt>
                <c:pt idx="2723">
                  <c:v>-3584</c:v>
                </c:pt>
                <c:pt idx="2724">
                  <c:v>-3584</c:v>
                </c:pt>
                <c:pt idx="2725">
                  <c:v>7287</c:v>
                </c:pt>
                <c:pt idx="2726">
                  <c:v>-7287</c:v>
                </c:pt>
                <c:pt idx="2727">
                  <c:v>-7283</c:v>
                </c:pt>
                <c:pt idx="2728">
                  <c:v>-7249</c:v>
                </c:pt>
                <c:pt idx="2729">
                  <c:v>-7184</c:v>
                </c:pt>
                <c:pt idx="2730">
                  <c:v>-7010</c:v>
                </c:pt>
                <c:pt idx="2731">
                  <c:v>-6866</c:v>
                </c:pt>
                <c:pt idx="2732">
                  <c:v>-6684</c:v>
                </c:pt>
                <c:pt idx="2733">
                  <c:v>-6470</c:v>
                </c:pt>
                <c:pt idx="2734">
                  <c:v>-6238</c:v>
                </c:pt>
                <c:pt idx="2735">
                  <c:v>-5792</c:v>
                </c:pt>
                <c:pt idx="2736">
                  <c:v>-5492</c:v>
                </c:pt>
                <c:pt idx="2737">
                  <c:v>-5169</c:v>
                </c:pt>
                <c:pt idx="2738">
                  <c:v>-4580</c:v>
                </c:pt>
                <c:pt idx="2739">
                  <c:v>-4202</c:v>
                </c:pt>
                <c:pt idx="2740">
                  <c:v>-3786</c:v>
                </c:pt>
                <c:pt idx="2741">
                  <c:v>-3353</c:v>
                </c:pt>
                <c:pt idx="2742">
                  <c:v>-2903</c:v>
                </c:pt>
                <c:pt idx="2743">
                  <c:v>-2440</c:v>
                </c:pt>
                <c:pt idx="2744">
                  <c:v>-1966</c:v>
                </c:pt>
                <c:pt idx="2745">
                  <c:v>-1483</c:v>
                </c:pt>
                <c:pt idx="2746">
                  <c:v>-1015</c:v>
                </c:pt>
                <c:pt idx="2747" formatCode="General">
                  <c:v>0.22600000000000001</c:v>
                </c:pt>
                <c:pt idx="2748" formatCode="General">
                  <c:v>0.249</c:v>
                </c:pt>
                <c:pt idx="2749" formatCode="General">
                  <c:v>0.745</c:v>
                </c:pt>
                <c:pt idx="2750">
                  <c:v>1238</c:v>
                </c:pt>
                <c:pt idx="2751">
                  <c:v>1703</c:v>
                </c:pt>
                <c:pt idx="2752">
                  <c:v>2462</c:v>
                </c:pt>
                <c:pt idx="2753">
                  <c:v>2903</c:v>
                </c:pt>
                <c:pt idx="2754">
                  <c:v>3332</c:v>
                </c:pt>
                <c:pt idx="2755">
                  <c:v>3996</c:v>
                </c:pt>
                <c:pt idx="2756">
                  <c:v>4598</c:v>
                </c:pt>
                <c:pt idx="2757">
                  <c:v>5151</c:v>
                </c:pt>
                <c:pt idx="2758">
                  <c:v>5651</c:v>
                </c:pt>
                <c:pt idx="2759">
                  <c:v>6092</c:v>
                </c:pt>
                <c:pt idx="2760">
                  <c:v>6468</c:v>
                </c:pt>
                <c:pt idx="2761">
                  <c:v>6777</c:v>
                </c:pt>
                <c:pt idx="2762">
                  <c:v>7015</c:v>
                </c:pt>
                <c:pt idx="2763">
                  <c:v>7184</c:v>
                </c:pt>
                <c:pt idx="2764">
                  <c:v>7249</c:v>
                </c:pt>
                <c:pt idx="2765">
                  <c:v>7283</c:v>
                </c:pt>
                <c:pt idx="2766">
                  <c:v>7287</c:v>
                </c:pt>
                <c:pt idx="2767">
                  <c:v>8584</c:v>
                </c:pt>
                <c:pt idx="2768">
                  <c:v>-8584</c:v>
                </c:pt>
                <c:pt idx="2769">
                  <c:v>-8579</c:v>
                </c:pt>
                <c:pt idx="2770">
                  <c:v>-8539</c:v>
                </c:pt>
                <c:pt idx="2771">
                  <c:v>-8460</c:v>
                </c:pt>
                <c:pt idx="2772">
                  <c:v>-8262</c:v>
                </c:pt>
                <c:pt idx="2773">
                  <c:v>-8088</c:v>
                </c:pt>
                <c:pt idx="2774">
                  <c:v>-7873</c:v>
                </c:pt>
                <c:pt idx="2775">
                  <c:v>-7621</c:v>
                </c:pt>
                <c:pt idx="2776">
                  <c:v>-7340</c:v>
                </c:pt>
                <c:pt idx="2777">
                  <c:v>-6832</c:v>
                </c:pt>
                <c:pt idx="2778">
                  <c:v>-6470</c:v>
                </c:pt>
                <c:pt idx="2779">
                  <c:v>-6078</c:v>
                </c:pt>
                <c:pt idx="2780">
                  <c:v>-5407</c:v>
                </c:pt>
                <c:pt idx="2781">
                  <c:v>-4950</c:v>
                </c:pt>
                <c:pt idx="2782">
                  <c:v>-4460</c:v>
                </c:pt>
                <c:pt idx="2783">
                  <c:v>-3949</c:v>
                </c:pt>
                <c:pt idx="2784">
                  <c:v>-3420</c:v>
                </c:pt>
                <c:pt idx="2785">
                  <c:v>-2874</c:v>
                </c:pt>
                <c:pt idx="2786">
                  <c:v>-2316</c:v>
                </c:pt>
                <c:pt idx="2787">
                  <c:v>-1746</c:v>
                </c:pt>
                <c:pt idx="2788">
                  <c:v>-1181</c:v>
                </c:pt>
                <c:pt idx="2789" formatCode="General">
                  <c:v>0.28100000000000003</c:v>
                </c:pt>
                <c:pt idx="2790" formatCode="General">
                  <c:v>0.29299999999999998</c:v>
                </c:pt>
                <c:pt idx="2791" formatCode="General">
                  <c:v>0.878</c:v>
                </c:pt>
                <c:pt idx="2792">
                  <c:v>1458</c:v>
                </c:pt>
                <c:pt idx="2793">
                  <c:v>2020</c:v>
                </c:pt>
                <c:pt idx="2794">
                  <c:v>2886</c:v>
                </c:pt>
                <c:pt idx="2795">
                  <c:v>3420</c:v>
                </c:pt>
                <c:pt idx="2796">
                  <c:v>3938</c:v>
                </c:pt>
                <c:pt idx="2797">
                  <c:v>4707</c:v>
                </c:pt>
                <c:pt idx="2798">
                  <c:v>5416</c:v>
                </c:pt>
                <c:pt idx="2799">
                  <c:v>6069</c:v>
                </c:pt>
                <c:pt idx="2800">
                  <c:v>6658</c:v>
                </c:pt>
                <c:pt idx="2801">
                  <c:v>7177</c:v>
                </c:pt>
                <c:pt idx="2802">
                  <c:v>7620</c:v>
                </c:pt>
                <c:pt idx="2803">
                  <c:v>7984</c:v>
                </c:pt>
                <c:pt idx="2804">
                  <c:v>8264</c:v>
                </c:pt>
                <c:pt idx="2805">
                  <c:v>8460</c:v>
                </c:pt>
                <c:pt idx="2806">
                  <c:v>8539</c:v>
                </c:pt>
                <c:pt idx="2807">
                  <c:v>8579</c:v>
                </c:pt>
                <c:pt idx="2808">
                  <c:v>8584</c:v>
                </c:pt>
                <c:pt idx="2809">
                  <c:v>9600</c:v>
                </c:pt>
                <c:pt idx="2810">
                  <c:v>-9600</c:v>
                </c:pt>
                <c:pt idx="2811">
                  <c:v>-9594</c:v>
                </c:pt>
                <c:pt idx="2812">
                  <c:v>-9549</c:v>
                </c:pt>
                <c:pt idx="2813">
                  <c:v>-9461</c:v>
                </c:pt>
                <c:pt idx="2814">
                  <c:v>-9243</c:v>
                </c:pt>
                <c:pt idx="2815">
                  <c:v>-9045</c:v>
                </c:pt>
                <c:pt idx="2816">
                  <c:v>-8805</c:v>
                </c:pt>
                <c:pt idx="2817">
                  <c:v>-8523</c:v>
                </c:pt>
                <c:pt idx="2818">
                  <c:v>-8204</c:v>
                </c:pt>
                <c:pt idx="2819">
                  <c:v>-7647</c:v>
                </c:pt>
                <c:pt idx="2820">
                  <c:v>-7235</c:v>
                </c:pt>
                <c:pt idx="2821">
                  <c:v>-6790</c:v>
                </c:pt>
                <c:pt idx="2822">
                  <c:v>-6056</c:v>
                </c:pt>
                <c:pt idx="2823">
                  <c:v>-5536</c:v>
                </c:pt>
                <c:pt idx="2824">
                  <c:v>-4988</c:v>
                </c:pt>
                <c:pt idx="2825">
                  <c:v>-4417</c:v>
                </c:pt>
                <c:pt idx="2826">
                  <c:v>-3825</c:v>
                </c:pt>
                <c:pt idx="2827">
                  <c:v>-3215</c:v>
                </c:pt>
                <c:pt idx="2828">
                  <c:v>-2590</c:v>
                </c:pt>
                <c:pt idx="2829">
                  <c:v>-1953</c:v>
                </c:pt>
                <c:pt idx="2830">
                  <c:v>-1311</c:v>
                </c:pt>
                <c:pt idx="2831" formatCode="General">
                  <c:v>0.32400000000000001</c:v>
                </c:pt>
                <c:pt idx="2832" formatCode="General">
                  <c:v>0.32800000000000001</c:v>
                </c:pt>
                <c:pt idx="2833" formatCode="General">
                  <c:v>0.98199999999999998</c:v>
                </c:pt>
                <c:pt idx="2834">
                  <c:v>1631</c:v>
                </c:pt>
                <c:pt idx="2835">
                  <c:v>2270</c:v>
                </c:pt>
                <c:pt idx="2836">
                  <c:v>3218</c:v>
                </c:pt>
                <c:pt idx="2837">
                  <c:v>3825</c:v>
                </c:pt>
                <c:pt idx="2838">
                  <c:v>4413</c:v>
                </c:pt>
                <c:pt idx="2839">
                  <c:v>5265</c:v>
                </c:pt>
                <c:pt idx="2840">
                  <c:v>6058</c:v>
                </c:pt>
                <c:pt idx="2841">
                  <c:v>6788</c:v>
                </c:pt>
                <c:pt idx="2842">
                  <c:v>7446</c:v>
                </c:pt>
                <c:pt idx="2843">
                  <c:v>8027</c:v>
                </c:pt>
                <c:pt idx="2844">
                  <c:v>8523</c:v>
                </c:pt>
                <c:pt idx="2845">
                  <c:v>8930</c:v>
                </c:pt>
                <c:pt idx="2846">
                  <c:v>9243</c:v>
                </c:pt>
                <c:pt idx="2847">
                  <c:v>9461</c:v>
                </c:pt>
                <c:pt idx="2848">
                  <c:v>9549</c:v>
                </c:pt>
                <c:pt idx="2849">
                  <c:v>9594</c:v>
                </c:pt>
                <c:pt idx="2850">
                  <c:v>9600</c:v>
                </c:pt>
                <c:pt idx="2851">
                  <c:v>8906</c:v>
                </c:pt>
                <c:pt idx="2852">
                  <c:v>4739</c:v>
                </c:pt>
                <c:pt idx="2853">
                  <c:v>3729</c:v>
                </c:pt>
                <c:pt idx="2854">
                  <c:v>3275</c:v>
                </c:pt>
                <c:pt idx="2855">
                  <c:v>2780</c:v>
                </c:pt>
                <c:pt idx="2856">
                  <c:v>2221</c:v>
                </c:pt>
                <c:pt idx="2857">
                  <c:v>1883</c:v>
                </c:pt>
                <c:pt idx="2858">
                  <c:v>1534</c:v>
                </c:pt>
                <c:pt idx="2859" formatCode="General">
                  <c:v>0.88100000000000001</c:v>
                </c:pt>
                <c:pt idx="2860" formatCode="General">
                  <c:v>0.51400000000000001</c:v>
                </c:pt>
                <c:pt idx="2861" formatCode="General">
                  <c:v>0.151</c:v>
                </c:pt>
                <c:pt idx="2862">
                  <c:v>6457</c:v>
                </c:pt>
                <c:pt idx="2863">
                  <c:v>6491</c:v>
                </c:pt>
                <c:pt idx="2864">
                  <c:v>6492</c:v>
                </c:pt>
                <c:pt idx="2865">
                  <c:v>-1635</c:v>
                </c:pt>
                <c:pt idx="2866">
                  <c:v>-2120</c:v>
                </c:pt>
                <c:pt idx="2867">
                  <c:v>-2510</c:v>
                </c:pt>
                <c:pt idx="2868">
                  <c:v>-3038</c:v>
                </c:pt>
                <c:pt idx="2869">
                  <c:v>6493</c:v>
                </c:pt>
                <c:pt idx="2870">
                  <c:v>6494</c:v>
                </c:pt>
                <c:pt idx="2871">
                  <c:v>-4191</c:v>
                </c:pt>
                <c:pt idx="2872">
                  <c:v>-4763</c:v>
                </c:pt>
                <c:pt idx="2873">
                  <c:v>-5131</c:v>
                </c:pt>
                <c:pt idx="2874">
                  <c:v>5669</c:v>
                </c:pt>
                <c:pt idx="2875">
                  <c:v>3809</c:v>
                </c:pt>
                <c:pt idx="2876">
                  <c:v>-5863</c:v>
                </c:pt>
                <c:pt idx="2877">
                  <c:v>-6149</c:v>
                </c:pt>
                <c:pt idx="2878">
                  <c:v>-6262</c:v>
                </c:pt>
                <c:pt idx="2879">
                  <c:v>-6343</c:v>
                </c:pt>
                <c:pt idx="2880">
                  <c:v>1950</c:v>
                </c:pt>
                <c:pt idx="2881" formatCode="General">
                  <c:v>9.0999999999999998E-2</c:v>
                </c:pt>
                <c:pt idx="2882">
                  <c:v>-6492</c:v>
                </c:pt>
                <c:pt idx="2883">
                  <c:v>-6493</c:v>
                </c:pt>
                <c:pt idx="2884">
                  <c:v>-1768</c:v>
                </c:pt>
                <c:pt idx="2885">
                  <c:v>-3628</c:v>
                </c:pt>
                <c:pt idx="2886">
                  <c:v>-6494</c:v>
                </c:pt>
                <c:pt idx="2887">
                  <c:v>-6495</c:v>
                </c:pt>
                <c:pt idx="2888">
                  <c:v>-5487</c:v>
                </c:pt>
                <c:pt idx="2889">
                  <c:v>-5487</c:v>
                </c:pt>
                <c:pt idx="2890">
                  <c:v>1014</c:v>
                </c:pt>
                <c:pt idx="2891" formatCode="General">
                  <c:v>0.86399999999999999</c:v>
                </c:pt>
                <c:pt idx="2892" formatCode="General">
                  <c:v>0.72199999999999998</c:v>
                </c:pt>
                <c:pt idx="2893" formatCode="General">
                  <c:v>0.55000000000000004</c:v>
                </c:pt>
                <c:pt idx="2894" formatCode="General">
                  <c:v>0.35399999999999998</c:v>
                </c:pt>
                <c:pt idx="2895" formatCode="General">
                  <c:v>0.14399999999999999</c:v>
                </c:pt>
                <c:pt idx="2896" formatCode="General">
                  <c:v>7.1999999999999995E-2</c:v>
                </c:pt>
                <c:pt idx="2897" formatCode="General">
                  <c:v>0.28999999999999998</c:v>
                </c:pt>
                <c:pt idx="2898" formatCode="General">
                  <c:v>0.48399999999999999</c:v>
                </c:pt>
                <c:pt idx="2899" formatCode="General">
                  <c:v>0.59799999999999998</c:v>
                </c:pt>
                <c:pt idx="2900" formatCode="General">
                  <c:v>0.77300000000000002</c:v>
                </c:pt>
                <c:pt idx="2901" formatCode="General">
                  <c:v>0.90400000000000003</c:v>
                </c:pt>
                <c:pt idx="2902" formatCode="General">
                  <c:v>0.997</c:v>
                </c:pt>
                <c:pt idx="2903">
                  <c:v>-1049</c:v>
                </c:pt>
                <c:pt idx="2904">
                  <c:v>-1057</c:v>
                </c:pt>
                <c:pt idx="2905">
                  <c:v>-1041</c:v>
                </c:pt>
                <c:pt idx="2906" formatCode="General">
                  <c:v>0.97</c:v>
                </c:pt>
                <c:pt idx="2907" formatCode="General">
                  <c:v>0.86399999999999999</c:v>
                </c:pt>
                <c:pt idx="2908" formatCode="General">
                  <c:v>0.72199999999999998</c:v>
                </c:pt>
                <c:pt idx="2909" formatCode="General">
                  <c:v>0.55000000000000004</c:v>
                </c:pt>
                <c:pt idx="2910" formatCode="General">
                  <c:v>0.35399999999999998</c:v>
                </c:pt>
                <c:pt idx="2911" formatCode="General">
                  <c:v>0.14399999999999999</c:v>
                </c:pt>
                <c:pt idx="2912" formatCode="General">
                  <c:v>0.192</c:v>
                </c:pt>
                <c:pt idx="2913" formatCode="General">
                  <c:v>0.42099999999999999</c:v>
                </c:pt>
                <c:pt idx="2914" formatCode="General">
                  <c:v>0.61</c:v>
                </c:pt>
                <c:pt idx="2915" formatCode="General">
                  <c:v>0.77300000000000002</c:v>
                </c:pt>
                <c:pt idx="2916" formatCode="General">
                  <c:v>0.90400000000000003</c:v>
                </c:pt>
                <c:pt idx="2917" formatCode="General">
                  <c:v>0.997</c:v>
                </c:pt>
                <c:pt idx="2918">
                  <c:v>1048</c:v>
                </c:pt>
                <c:pt idx="2919">
                  <c:v>1055</c:v>
                </c:pt>
                <c:pt idx="2920">
                  <c:v>1035</c:v>
                </c:pt>
                <c:pt idx="2921">
                  <c:v>1971</c:v>
                </c:pt>
                <c:pt idx="2922">
                  <c:v>1910</c:v>
                </c:pt>
                <c:pt idx="2923">
                  <c:v>1698</c:v>
                </c:pt>
                <c:pt idx="2924">
                  <c:v>1419</c:v>
                </c:pt>
                <c:pt idx="2925">
                  <c:v>1080</c:v>
                </c:pt>
                <c:pt idx="2926" formatCode="General">
                  <c:v>0.69599999999999995</c:v>
                </c:pt>
                <c:pt idx="2927" formatCode="General">
                  <c:v>0.28299999999999997</c:v>
                </c:pt>
                <c:pt idx="2928" formatCode="General">
                  <c:v>0.14199999999999999</c:v>
                </c:pt>
                <c:pt idx="2929" formatCode="General">
                  <c:v>0.56200000000000006</c:v>
                </c:pt>
                <c:pt idx="2930" formatCode="General">
                  <c:v>0.92900000000000005</c:v>
                </c:pt>
                <c:pt idx="2931">
                  <c:v>-1195</c:v>
                </c:pt>
                <c:pt idx="2932">
                  <c:v>-1519</c:v>
                </c:pt>
                <c:pt idx="2933">
                  <c:v>-1776</c:v>
                </c:pt>
                <c:pt idx="2934">
                  <c:v>-1959</c:v>
                </c:pt>
                <c:pt idx="2935">
                  <c:v>-2060</c:v>
                </c:pt>
                <c:pt idx="2936">
                  <c:v>-2075</c:v>
                </c:pt>
                <c:pt idx="2937">
                  <c:v>-2037</c:v>
                </c:pt>
                <c:pt idx="2938">
                  <c:v>-1907</c:v>
                </c:pt>
                <c:pt idx="2939">
                  <c:v>-1698</c:v>
                </c:pt>
                <c:pt idx="2940">
                  <c:v>-1419</c:v>
                </c:pt>
                <c:pt idx="2941">
                  <c:v>-1080</c:v>
                </c:pt>
                <c:pt idx="2942" formatCode="General">
                  <c:v>0.69599999999999995</c:v>
                </c:pt>
                <c:pt idx="2943" formatCode="General">
                  <c:v>0.28299999999999997</c:v>
                </c:pt>
                <c:pt idx="2944" formatCode="General">
                  <c:v>0.14899999999999999</c:v>
                </c:pt>
                <c:pt idx="2945" formatCode="General">
                  <c:v>0.41599999999999998</c:v>
                </c:pt>
                <c:pt idx="2946" formatCode="General">
                  <c:v>0.82799999999999996</c:v>
                </c:pt>
                <c:pt idx="2947">
                  <c:v>1199</c:v>
                </c:pt>
                <c:pt idx="2948">
                  <c:v>1519</c:v>
                </c:pt>
                <c:pt idx="2949">
                  <c:v>1776</c:v>
                </c:pt>
                <c:pt idx="2950">
                  <c:v>1959</c:v>
                </c:pt>
                <c:pt idx="2951">
                  <c:v>2059</c:v>
                </c:pt>
                <c:pt idx="2952">
                  <c:v>2074</c:v>
                </c:pt>
                <c:pt idx="2953">
                  <c:v>2006</c:v>
                </c:pt>
                <c:pt idx="2954">
                  <c:v>1795</c:v>
                </c:pt>
                <c:pt idx="2955">
                  <c:v>1795</c:v>
                </c:pt>
                <c:pt idx="2956" formatCode="General">
                  <c:v>0.98899999999999999</c:v>
                </c:pt>
                <c:pt idx="2957" formatCode="General">
                  <c:v>0.91900000000000004</c:v>
                </c:pt>
                <c:pt idx="2958" formatCode="General">
                  <c:v>0.81899999999999995</c:v>
                </c:pt>
                <c:pt idx="2959" formatCode="General">
                  <c:v>0.68400000000000005</c:v>
                </c:pt>
                <c:pt idx="2960" formatCode="General">
                  <c:v>0.52100000000000002</c:v>
                </c:pt>
                <c:pt idx="2961" formatCode="General">
                  <c:v>0.33600000000000002</c:v>
                </c:pt>
                <c:pt idx="2962" formatCode="General">
                  <c:v>0.13600000000000001</c:v>
                </c:pt>
                <c:pt idx="2963" formatCode="General">
                  <c:v>6.8000000000000005E-2</c:v>
                </c:pt>
                <c:pt idx="2964" formatCode="General">
                  <c:v>0.27900000000000003</c:v>
                </c:pt>
                <c:pt idx="2965" formatCode="General">
                  <c:v>0.436</c:v>
                </c:pt>
                <c:pt idx="2966" formatCode="General">
                  <c:v>0.56999999999999995</c:v>
                </c:pt>
                <c:pt idx="2967" formatCode="General">
                  <c:v>0.73299999999999998</c:v>
                </c:pt>
                <c:pt idx="2968" formatCode="General">
                  <c:v>0.85599999999999998</c:v>
                </c:pt>
                <c:pt idx="2969" formatCode="General">
                  <c:v>0.94399999999999995</c:v>
                </c:pt>
                <c:pt idx="2970" formatCode="General">
                  <c:v>0.995</c:v>
                </c:pt>
                <c:pt idx="2971">
                  <c:v>-1003</c:v>
                </c:pt>
                <c:pt idx="2972" formatCode="General">
                  <c:v>0.98499999999999999</c:v>
                </c:pt>
                <c:pt idx="2973" formatCode="General">
                  <c:v>0.91900000000000004</c:v>
                </c:pt>
                <c:pt idx="2974" formatCode="General">
                  <c:v>0.81899999999999995</c:v>
                </c:pt>
                <c:pt idx="2975" formatCode="General">
                  <c:v>0.68400000000000005</c:v>
                </c:pt>
                <c:pt idx="2976" formatCode="General">
                  <c:v>0.52100000000000002</c:v>
                </c:pt>
                <c:pt idx="2977" formatCode="General">
                  <c:v>0.33600000000000002</c:v>
                </c:pt>
                <c:pt idx="2978" formatCode="General">
                  <c:v>0.13600000000000001</c:v>
                </c:pt>
                <c:pt idx="2979" formatCode="General">
                  <c:v>6.8000000000000005E-2</c:v>
                </c:pt>
                <c:pt idx="2980" formatCode="General">
                  <c:v>0.27</c:v>
                </c:pt>
                <c:pt idx="2981" formatCode="General">
                  <c:v>0.46100000000000002</c:v>
                </c:pt>
                <c:pt idx="2982" formatCode="General">
                  <c:v>0.64</c:v>
                </c:pt>
                <c:pt idx="2983" formatCode="General">
                  <c:v>0.76</c:v>
                </c:pt>
                <c:pt idx="2984" formatCode="General">
                  <c:v>0.85199999999999998</c:v>
                </c:pt>
                <c:pt idx="2985" formatCode="General">
                  <c:v>0.94399999999999995</c:v>
                </c:pt>
                <c:pt idx="2986" formatCode="General">
                  <c:v>0.99299999999999999</c:v>
                </c:pt>
                <c:pt idx="2987">
                  <c:v>1000</c:v>
                </c:pt>
                <c:pt idx="2988">
                  <c:v>1957</c:v>
                </c:pt>
                <c:pt idx="2989">
                  <c:v>1856</c:v>
                </c:pt>
                <c:pt idx="2990">
                  <c:v>1653</c:v>
                </c:pt>
                <c:pt idx="2991">
                  <c:v>1381</c:v>
                </c:pt>
                <c:pt idx="2992">
                  <c:v>1051</c:v>
                </c:pt>
                <c:pt idx="2993" formatCode="General">
                  <c:v>0.67800000000000005</c:v>
                </c:pt>
                <c:pt idx="2994" formatCode="General">
                  <c:v>0.27600000000000002</c:v>
                </c:pt>
                <c:pt idx="2995" formatCode="General">
                  <c:v>0.13800000000000001</c:v>
                </c:pt>
                <c:pt idx="2996" formatCode="General">
                  <c:v>0.54800000000000004</c:v>
                </c:pt>
                <c:pt idx="2997" formatCode="General">
                  <c:v>0.875</c:v>
                </c:pt>
                <c:pt idx="2998">
                  <c:v>-1165</c:v>
                </c:pt>
                <c:pt idx="2999">
                  <c:v>-1479</c:v>
                </c:pt>
                <c:pt idx="3000">
                  <c:v>-1729</c:v>
                </c:pt>
                <c:pt idx="3001">
                  <c:v>-1907</c:v>
                </c:pt>
                <c:pt idx="3002">
                  <c:v>-2005</c:v>
                </c:pt>
                <c:pt idx="3003">
                  <c:v>-2021</c:v>
                </c:pt>
                <c:pt idx="3004">
                  <c:v>-1982</c:v>
                </c:pt>
                <c:pt idx="3005">
                  <c:v>-1856</c:v>
                </c:pt>
                <c:pt idx="3006">
                  <c:v>-1653</c:v>
                </c:pt>
                <c:pt idx="3007">
                  <c:v>-1381</c:v>
                </c:pt>
                <c:pt idx="3008">
                  <c:v>-1051</c:v>
                </c:pt>
                <c:pt idx="3009" formatCode="General">
                  <c:v>0.67800000000000005</c:v>
                </c:pt>
                <c:pt idx="3010" formatCode="General">
                  <c:v>0.27600000000000002</c:v>
                </c:pt>
                <c:pt idx="3011" formatCode="General">
                  <c:v>0.13800000000000001</c:v>
                </c:pt>
                <c:pt idx="3012" formatCode="General">
                  <c:v>0.54600000000000004</c:v>
                </c:pt>
                <c:pt idx="3013" formatCode="General">
                  <c:v>0.93100000000000005</c:v>
                </c:pt>
                <c:pt idx="3014">
                  <c:v>1279</c:v>
                </c:pt>
                <c:pt idx="3015">
                  <c:v>1529</c:v>
                </c:pt>
                <c:pt idx="3016">
                  <c:v>1727</c:v>
                </c:pt>
                <c:pt idx="3017">
                  <c:v>1907</c:v>
                </c:pt>
                <c:pt idx="3018">
                  <c:v>2004</c:v>
                </c:pt>
                <c:pt idx="3019">
                  <c:v>2019</c:v>
                </c:pt>
                <c:pt idx="3020">
                  <c:v>1988</c:v>
                </c:pt>
                <c:pt idx="3021">
                  <c:v>1638</c:v>
                </c:pt>
                <c:pt idx="3022">
                  <c:v>1638</c:v>
                </c:pt>
                <c:pt idx="3023" formatCode="General">
                  <c:v>0.88900000000000001</c:v>
                </c:pt>
                <c:pt idx="3024" formatCode="General">
                  <c:v>0.83299999999999996</c:v>
                </c:pt>
                <c:pt idx="3025" formatCode="General">
                  <c:v>0.73</c:v>
                </c:pt>
                <c:pt idx="3026" formatCode="General">
                  <c:v>0.52400000000000002</c:v>
                </c:pt>
                <c:pt idx="3027" formatCode="General">
                  <c:v>0.36199999999999999</c:v>
                </c:pt>
                <c:pt idx="3028" formatCode="General">
                  <c:v>0.185</c:v>
                </c:pt>
                <c:pt idx="3029" formatCode="General">
                  <c:v>0</c:v>
                </c:pt>
                <c:pt idx="3030" formatCode="General">
                  <c:v>0.185</c:v>
                </c:pt>
                <c:pt idx="3031" formatCode="General">
                  <c:v>0.36199999999999999</c:v>
                </c:pt>
                <c:pt idx="3032" formatCode="General">
                  <c:v>0.52400000000000002</c:v>
                </c:pt>
                <c:pt idx="3033" formatCode="General">
                  <c:v>0.66300000000000003</c:v>
                </c:pt>
                <c:pt idx="3034" formatCode="General">
                  <c:v>0.77600000000000002</c:v>
                </c:pt>
                <c:pt idx="3035" formatCode="General">
                  <c:v>0.85499999999999998</c:v>
                </c:pt>
                <c:pt idx="3036" formatCode="General">
                  <c:v>0.90200000000000002</c:v>
                </c:pt>
                <c:pt idx="3037" formatCode="General">
                  <c:v>0.90900000000000003</c:v>
                </c:pt>
                <c:pt idx="3038" formatCode="General">
                  <c:v>0.89100000000000001</c:v>
                </c:pt>
                <c:pt idx="3039" formatCode="General">
                  <c:v>0.83299999999999996</c:v>
                </c:pt>
                <c:pt idx="3040" formatCode="General">
                  <c:v>0.74199999999999999</c:v>
                </c:pt>
                <c:pt idx="3041" formatCode="General">
                  <c:v>0.60399999999999998</c:v>
                </c:pt>
                <c:pt idx="3042" formatCode="General">
                  <c:v>0.36199999999999999</c:v>
                </c:pt>
                <c:pt idx="3043" formatCode="General">
                  <c:v>0.185</c:v>
                </c:pt>
                <c:pt idx="3044" formatCode="General">
                  <c:v>0</c:v>
                </c:pt>
                <c:pt idx="3045" formatCode="General">
                  <c:v>0.185</c:v>
                </c:pt>
                <c:pt idx="3046" formatCode="General">
                  <c:v>0.36199999999999999</c:v>
                </c:pt>
                <c:pt idx="3047" formatCode="General">
                  <c:v>0.60399999999999998</c:v>
                </c:pt>
                <c:pt idx="3048" formatCode="General">
                  <c:v>0.74199999999999999</c:v>
                </c:pt>
                <c:pt idx="3049" formatCode="General">
                  <c:v>0.83299999999999996</c:v>
                </c:pt>
                <c:pt idx="3050" formatCode="General">
                  <c:v>0.88900000000000001</c:v>
                </c:pt>
                <c:pt idx="3051" formatCode="General">
                  <c:v>0.90100000000000002</c:v>
                </c:pt>
                <c:pt idx="3052">
                  <c:v>1857</c:v>
                </c:pt>
                <c:pt idx="3053">
                  <c:v>1769</c:v>
                </c:pt>
                <c:pt idx="3054">
                  <c:v>1572</c:v>
                </c:pt>
                <c:pt idx="3055">
                  <c:v>1415</c:v>
                </c:pt>
                <c:pt idx="3056">
                  <c:v>1112</c:v>
                </c:pt>
                <c:pt idx="3057" formatCode="General">
                  <c:v>0.76800000000000002</c:v>
                </c:pt>
                <c:pt idx="3058" formatCode="General">
                  <c:v>0.39200000000000002</c:v>
                </c:pt>
                <c:pt idx="3059" formatCode="General">
                  <c:v>0</c:v>
                </c:pt>
                <c:pt idx="3060" formatCode="General">
                  <c:v>0.39200000000000002</c:v>
                </c:pt>
                <c:pt idx="3061" formatCode="General">
                  <c:v>0.76800000000000002</c:v>
                </c:pt>
                <c:pt idx="3062">
                  <c:v>-1112</c:v>
                </c:pt>
                <c:pt idx="3063">
                  <c:v>-1410</c:v>
                </c:pt>
                <c:pt idx="3064">
                  <c:v>-1648</c:v>
                </c:pt>
                <c:pt idx="3065">
                  <c:v>-1817</c:v>
                </c:pt>
                <c:pt idx="3066">
                  <c:v>-1912</c:v>
                </c:pt>
                <c:pt idx="3067">
                  <c:v>-1928</c:v>
                </c:pt>
                <c:pt idx="3068">
                  <c:v>-1889</c:v>
                </c:pt>
                <c:pt idx="3069">
                  <c:v>-1769</c:v>
                </c:pt>
                <c:pt idx="3070">
                  <c:v>-1576</c:v>
                </c:pt>
                <c:pt idx="3071">
                  <c:v>-1312</c:v>
                </c:pt>
                <c:pt idx="3072">
                  <c:v>-1118</c:v>
                </c:pt>
                <c:pt idx="3073" formatCode="General">
                  <c:v>0.76800000000000002</c:v>
                </c:pt>
                <c:pt idx="3074" formatCode="General">
                  <c:v>0.39200000000000002</c:v>
                </c:pt>
                <c:pt idx="3075" formatCode="General">
                  <c:v>0</c:v>
                </c:pt>
                <c:pt idx="3076" formatCode="General">
                  <c:v>0.39200000000000002</c:v>
                </c:pt>
                <c:pt idx="3077" formatCode="General">
                  <c:v>0.76800000000000002</c:v>
                </c:pt>
                <c:pt idx="3078">
                  <c:v>1118</c:v>
                </c:pt>
                <c:pt idx="3079">
                  <c:v>1312</c:v>
                </c:pt>
                <c:pt idx="3080">
                  <c:v>1576</c:v>
                </c:pt>
                <c:pt idx="3081">
                  <c:v>1769</c:v>
                </c:pt>
                <c:pt idx="3082">
                  <c:v>1888</c:v>
                </c:pt>
                <c:pt idx="3083">
                  <c:v>1929</c:v>
                </c:pt>
                <c:pt idx="3084">
                  <c:v>1890</c:v>
                </c:pt>
                <c:pt idx="3085">
                  <c:v>1580</c:v>
                </c:pt>
                <c:pt idx="3086">
                  <c:v>1580</c:v>
                </c:pt>
                <c:pt idx="3087" formatCode="General">
                  <c:v>0.77400000000000002</c:v>
                </c:pt>
                <c:pt idx="3088" formatCode="General">
                  <c:v>0.72399999999999998</c:v>
                </c:pt>
                <c:pt idx="3089" formatCode="General">
                  <c:v>0.65700000000000003</c:v>
                </c:pt>
                <c:pt idx="3090" formatCode="General">
                  <c:v>0.56200000000000006</c:v>
                </c:pt>
                <c:pt idx="3091" formatCode="General">
                  <c:v>0.443</c:v>
                </c:pt>
                <c:pt idx="3092" formatCode="General">
                  <c:v>0.30599999999999999</c:v>
                </c:pt>
                <c:pt idx="3093" formatCode="General">
                  <c:v>0.156</c:v>
                </c:pt>
                <c:pt idx="3094" formatCode="General">
                  <c:v>0</c:v>
                </c:pt>
                <c:pt idx="3095" formatCode="General">
                  <c:v>0.156</c:v>
                </c:pt>
                <c:pt idx="3096" formatCode="General">
                  <c:v>0.30599999999999999</c:v>
                </c:pt>
                <c:pt idx="3097" formatCode="General">
                  <c:v>0.443</c:v>
                </c:pt>
                <c:pt idx="3098" formatCode="General">
                  <c:v>0.56200000000000006</c:v>
                </c:pt>
                <c:pt idx="3099" formatCode="General">
                  <c:v>0.65700000000000003</c:v>
                </c:pt>
                <c:pt idx="3100" formatCode="General">
                  <c:v>0.72399999999999998</c:v>
                </c:pt>
                <c:pt idx="3101" formatCode="General">
                  <c:v>0.76500000000000001</c:v>
                </c:pt>
                <c:pt idx="3102" formatCode="General">
                  <c:v>0.754</c:v>
                </c:pt>
                <c:pt idx="3103" formatCode="General">
                  <c:v>0.70499999999999996</c:v>
                </c:pt>
                <c:pt idx="3104" formatCode="General">
                  <c:v>0.628</c:v>
                </c:pt>
                <c:pt idx="3105" formatCode="General">
                  <c:v>0.49</c:v>
                </c:pt>
                <c:pt idx="3106" formatCode="General">
                  <c:v>0.30599999999999999</c:v>
                </c:pt>
                <c:pt idx="3107" formatCode="General">
                  <c:v>0.156</c:v>
                </c:pt>
                <c:pt idx="3108" formatCode="General">
                  <c:v>5.2999999999999999E-2</c:v>
                </c:pt>
                <c:pt idx="3109" formatCode="General">
                  <c:v>0.25700000000000001</c:v>
                </c:pt>
                <c:pt idx="3110" formatCode="General">
                  <c:v>0.39900000000000002</c:v>
                </c:pt>
                <c:pt idx="3111" formatCode="General">
                  <c:v>0.52500000000000002</c:v>
                </c:pt>
                <c:pt idx="3112" formatCode="General">
                  <c:v>0.628</c:v>
                </c:pt>
                <c:pt idx="3113" formatCode="General">
                  <c:v>0.70499999999999996</c:v>
                </c:pt>
                <c:pt idx="3114" formatCode="General">
                  <c:v>0.76200000000000001</c:v>
                </c:pt>
                <c:pt idx="3115">
                  <c:v>1782</c:v>
                </c:pt>
                <c:pt idx="3116">
                  <c:v>1775</c:v>
                </c:pt>
                <c:pt idx="3117">
                  <c:v>1686</c:v>
                </c:pt>
                <c:pt idx="3118">
                  <c:v>1529</c:v>
                </c:pt>
                <c:pt idx="3119">
                  <c:v>1308</c:v>
                </c:pt>
                <c:pt idx="3120">
                  <c:v>1032</c:v>
                </c:pt>
                <c:pt idx="3121" formatCode="General">
                  <c:v>0.71299999999999997</c:v>
                </c:pt>
                <c:pt idx="3122" formatCode="General">
                  <c:v>0.36399999999999999</c:v>
                </c:pt>
                <c:pt idx="3123" formatCode="General">
                  <c:v>0</c:v>
                </c:pt>
                <c:pt idx="3124" formatCode="General">
                  <c:v>0.36399999999999999</c:v>
                </c:pt>
                <c:pt idx="3125" formatCode="General">
                  <c:v>0.71299999999999997</c:v>
                </c:pt>
                <c:pt idx="3126">
                  <c:v>-1032</c:v>
                </c:pt>
                <c:pt idx="3127">
                  <c:v>-1308</c:v>
                </c:pt>
                <c:pt idx="3128">
                  <c:v>-1529</c:v>
                </c:pt>
                <c:pt idx="3129">
                  <c:v>-1686</c:v>
                </c:pt>
                <c:pt idx="3130">
                  <c:v>-1774</c:v>
                </c:pt>
                <c:pt idx="3131">
                  <c:v>-1789</c:v>
                </c:pt>
                <c:pt idx="3132">
                  <c:v>-1753</c:v>
                </c:pt>
                <c:pt idx="3133">
                  <c:v>-1641</c:v>
                </c:pt>
                <c:pt idx="3134">
                  <c:v>-1462</c:v>
                </c:pt>
                <c:pt idx="3135">
                  <c:v>-1217</c:v>
                </c:pt>
                <c:pt idx="3136">
                  <c:v>-1038</c:v>
                </c:pt>
                <c:pt idx="3137" formatCode="General">
                  <c:v>0.71299999999999997</c:v>
                </c:pt>
                <c:pt idx="3138" formatCode="General">
                  <c:v>0.36399999999999999</c:v>
                </c:pt>
                <c:pt idx="3139" formatCode="General">
                  <c:v>7.0000000000000001E-3</c:v>
                </c:pt>
                <c:pt idx="3140" formatCode="General">
                  <c:v>0.23699999999999999</c:v>
                </c:pt>
                <c:pt idx="3141" formatCode="General">
                  <c:v>0.59899999999999998</c:v>
                </c:pt>
                <c:pt idx="3142" formatCode="General">
                  <c:v>0.93</c:v>
                </c:pt>
                <c:pt idx="3143">
                  <c:v>1221</c:v>
                </c:pt>
                <c:pt idx="3144">
                  <c:v>1462</c:v>
                </c:pt>
                <c:pt idx="3145">
                  <c:v>1641</c:v>
                </c:pt>
                <c:pt idx="3146">
                  <c:v>1752</c:v>
                </c:pt>
                <c:pt idx="3147">
                  <c:v>1790</c:v>
                </c:pt>
                <c:pt idx="3148">
                  <c:v>1683</c:v>
                </c:pt>
                <c:pt idx="3149">
                  <c:v>1683</c:v>
                </c:pt>
                <c:pt idx="3150" formatCode="General">
                  <c:v>0.56200000000000006</c:v>
                </c:pt>
                <c:pt idx="3151" formatCode="General">
                  <c:v>0.496</c:v>
                </c:pt>
                <c:pt idx="3152" formatCode="General">
                  <c:v>0.33200000000000002</c:v>
                </c:pt>
                <c:pt idx="3153" formatCode="General">
                  <c:v>0.11700000000000001</c:v>
                </c:pt>
                <c:pt idx="3154" formatCode="General">
                  <c:v>0.11700000000000001</c:v>
                </c:pt>
                <c:pt idx="3155" formatCode="General">
                  <c:v>0.22900000000000001</c:v>
                </c:pt>
                <c:pt idx="3156" formatCode="General">
                  <c:v>0.42</c:v>
                </c:pt>
                <c:pt idx="3157" formatCode="General">
                  <c:v>0.54200000000000004</c:v>
                </c:pt>
                <c:pt idx="3158" formatCode="General">
                  <c:v>0.57699999999999996</c:v>
                </c:pt>
                <c:pt idx="3159" formatCode="General">
                  <c:v>0.52800000000000002</c:v>
                </c:pt>
                <c:pt idx="3160" formatCode="General">
                  <c:v>0.39300000000000002</c:v>
                </c:pt>
                <c:pt idx="3161" formatCode="General">
                  <c:v>0.29899999999999999</c:v>
                </c:pt>
                <c:pt idx="3162" formatCode="General">
                  <c:v>0.157</c:v>
                </c:pt>
                <c:pt idx="3163" formatCode="General">
                  <c:v>0</c:v>
                </c:pt>
                <c:pt idx="3164" formatCode="General">
                  <c:v>0.20499999999999999</c:v>
                </c:pt>
                <c:pt idx="3165" formatCode="General">
                  <c:v>0.39300000000000002</c:v>
                </c:pt>
                <c:pt idx="3166" formatCode="General">
                  <c:v>0.52800000000000002</c:v>
                </c:pt>
                <c:pt idx="3167" formatCode="General">
                  <c:v>0.56299999999999994</c:v>
                </c:pt>
                <c:pt idx="3168" formatCode="General">
                  <c:v>0.57399999999999995</c:v>
                </c:pt>
                <c:pt idx="3169">
                  <c:v>1535</c:v>
                </c:pt>
                <c:pt idx="3170">
                  <c:v>1488</c:v>
                </c:pt>
                <c:pt idx="3171">
                  <c:v>1365</c:v>
                </c:pt>
                <c:pt idx="3172">
                  <c:v>1166</c:v>
                </c:pt>
                <c:pt idx="3173" formatCode="General">
                  <c:v>0.92</c:v>
                </c:pt>
                <c:pt idx="3174" formatCode="General">
                  <c:v>0.63600000000000001</c:v>
                </c:pt>
                <c:pt idx="3175" formatCode="General">
                  <c:v>0.32500000000000001</c:v>
                </c:pt>
                <c:pt idx="3176" formatCode="General">
                  <c:v>0</c:v>
                </c:pt>
                <c:pt idx="3177" formatCode="General">
                  <c:v>0.32500000000000001</c:v>
                </c:pt>
                <c:pt idx="3178" formatCode="General">
                  <c:v>0.63600000000000001</c:v>
                </c:pt>
                <c:pt idx="3179" formatCode="General">
                  <c:v>0.92</c:v>
                </c:pt>
                <c:pt idx="3180">
                  <c:v>-1166</c:v>
                </c:pt>
                <c:pt idx="3181">
                  <c:v>-1364</c:v>
                </c:pt>
                <c:pt idx="3182">
                  <c:v>-1504</c:v>
                </c:pt>
                <c:pt idx="3183">
                  <c:v>-1582</c:v>
                </c:pt>
                <c:pt idx="3184">
                  <c:v>-1595</c:v>
                </c:pt>
                <c:pt idx="3185">
                  <c:v>-1563</c:v>
                </c:pt>
                <c:pt idx="3186">
                  <c:v>-1464</c:v>
                </c:pt>
                <c:pt idx="3187">
                  <c:v>-1304</c:v>
                </c:pt>
                <c:pt idx="3188">
                  <c:v>-1089</c:v>
                </c:pt>
                <c:pt idx="3189" formatCode="General">
                  <c:v>0.82899999999999996</c:v>
                </c:pt>
                <c:pt idx="3190" formatCode="General">
                  <c:v>0.52800000000000002</c:v>
                </c:pt>
                <c:pt idx="3191" formatCode="General">
                  <c:v>0.33200000000000002</c:v>
                </c:pt>
                <c:pt idx="3192" formatCode="General">
                  <c:v>0</c:v>
                </c:pt>
                <c:pt idx="3193" formatCode="General">
                  <c:v>0.32800000000000001</c:v>
                </c:pt>
                <c:pt idx="3194" formatCode="General">
                  <c:v>0.57599999999999996</c:v>
                </c:pt>
                <c:pt idx="3195" formatCode="General">
                  <c:v>0.82799999999999996</c:v>
                </c:pt>
                <c:pt idx="3196">
                  <c:v>1089</c:v>
                </c:pt>
                <c:pt idx="3197">
                  <c:v>1304</c:v>
                </c:pt>
                <c:pt idx="3198">
                  <c:v>1464</c:v>
                </c:pt>
                <c:pt idx="3199">
                  <c:v>1563</c:v>
                </c:pt>
                <c:pt idx="3200">
                  <c:v>1596</c:v>
                </c:pt>
                <c:pt idx="3201">
                  <c:v>1565</c:v>
                </c:pt>
                <c:pt idx="3202">
                  <c:v>1380</c:v>
                </c:pt>
                <c:pt idx="3203">
                  <c:v>1380</c:v>
                </c:pt>
                <c:pt idx="3204">
                  <c:v>1282</c:v>
                </c:pt>
                <c:pt idx="3205">
                  <c:v>1182</c:v>
                </c:pt>
                <c:pt idx="3206">
                  <c:v>1032</c:v>
                </c:pt>
                <c:pt idx="3207" formatCode="General">
                  <c:v>0.85399999999999998</c:v>
                </c:pt>
                <c:pt idx="3208" formatCode="General">
                  <c:v>0.69599999999999995</c:v>
                </c:pt>
                <c:pt idx="3209" formatCode="General">
                  <c:v>0.44600000000000001</c:v>
                </c:pt>
                <c:pt idx="3210" formatCode="General">
                  <c:v>0.18099999999999999</c:v>
                </c:pt>
                <c:pt idx="3211" formatCode="General">
                  <c:v>9.1999999999999998E-2</c:v>
                </c:pt>
                <c:pt idx="3212" formatCode="General">
                  <c:v>0.34200000000000003</c:v>
                </c:pt>
                <c:pt idx="3213" formatCode="General">
                  <c:v>0.52600000000000002</c:v>
                </c:pt>
                <c:pt idx="3214" formatCode="General">
                  <c:v>0.76800000000000002</c:v>
                </c:pt>
                <c:pt idx="3215" formatCode="General">
                  <c:v>0.97299999999999998</c:v>
                </c:pt>
                <c:pt idx="3216">
                  <c:v>-1138</c:v>
                </c:pt>
                <c:pt idx="3217">
                  <c:v>-1254</c:v>
                </c:pt>
                <c:pt idx="3218">
                  <c:v>-1319</c:v>
                </c:pt>
                <c:pt idx="3219">
                  <c:v>-1329</c:v>
                </c:pt>
                <c:pt idx="3220">
                  <c:v>-1305</c:v>
                </c:pt>
                <c:pt idx="3221">
                  <c:v>-1221</c:v>
                </c:pt>
                <c:pt idx="3222">
                  <c:v>-1088</c:v>
                </c:pt>
                <c:pt idx="3223" formatCode="General">
                  <c:v>0.90900000000000003</c:v>
                </c:pt>
                <c:pt idx="3224" formatCode="General">
                  <c:v>0.69199999999999995</c:v>
                </c:pt>
                <c:pt idx="3225" formatCode="General">
                  <c:v>0.44600000000000001</c:v>
                </c:pt>
                <c:pt idx="3226" formatCode="General">
                  <c:v>0.18099999999999999</c:v>
                </c:pt>
                <c:pt idx="3227" formatCode="General">
                  <c:v>9.0999999999999998E-2</c:v>
                </c:pt>
                <c:pt idx="3228" formatCode="General">
                  <c:v>0.35899999999999999</c:v>
                </c:pt>
                <c:pt idx="3229" formatCode="General">
                  <c:v>0.61299999999999999</c:v>
                </c:pt>
                <c:pt idx="3230" formatCode="General">
                  <c:v>0.84099999999999997</c:v>
                </c:pt>
                <c:pt idx="3231">
                  <c:v>1021</c:v>
                </c:pt>
                <c:pt idx="3232">
                  <c:v>1136</c:v>
                </c:pt>
                <c:pt idx="3233">
                  <c:v>1254</c:v>
                </c:pt>
                <c:pt idx="3234">
                  <c:v>1319</c:v>
                </c:pt>
                <c:pt idx="3235">
                  <c:v>1328</c:v>
                </c:pt>
                <c:pt idx="3236">
                  <c:v>1302</c:v>
                </c:pt>
                <c:pt idx="3237">
                  <c:v>1018</c:v>
                </c:pt>
                <c:pt idx="3238">
                  <c:v>1018</c:v>
                </c:pt>
                <c:pt idx="3239" formatCode="General">
                  <c:v>0.92300000000000004</c:v>
                </c:pt>
                <c:pt idx="3240" formatCode="General">
                  <c:v>0.875</c:v>
                </c:pt>
                <c:pt idx="3241" formatCode="General">
                  <c:v>0.77800000000000002</c:v>
                </c:pt>
                <c:pt idx="3242" formatCode="General">
                  <c:v>0.65</c:v>
                </c:pt>
                <c:pt idx="3243" formatCode="General">
                  <c:v>0.495</c:v>
                </c:pt>
                <c:pt idx="3244" formatCode="General">
                  <c:v>0.31900000000000001</c:v>
                </c:pt>
                <c:pt idx="3245" formatCode="General">
                  <c:v>0.13</c:v>
                </c:pt>
                <c:pt idx="3246" formatCode="General">
                  <c:v>7.1999999999999995E-2</c:v>
                </c:pt>
                <c:pt idx="3247" formatCode="General">
                  <c:v>0.187</c:v>
                </c:pt>
                <c:pt idx="3248" formatCode="General">
                  <c:v>0.379</c:v>
                </c:pt>
                <c:pt idx="3249" formatCode="General">
                  <c:v>0.54900000000000004</c:v>
                </c:pt>
                <c:pt idx="3250" formatCode="General">
                  <c:v>0.69599999999999995</c:v>
                </c:pt>
                <c:pt idx="3251" formatCode="General">
                  <c:v>0.81299999999999994</c:v>
                </c:pt>
                <c:pt idx="3252" formatCode="General">
                  <c:v>0.89700000000000002</c:v>
                </c:pt>
                <c:pt idx="3253" formatCode="General">
                  <c:v>0.94299999999999995</c:v>
                </c:pt>
                <c:pt idx="3254" formatCode="General">
                  <c:v>0.95099999999999996</c:v>
                </c:pt>
                <c:pt idx="3255" formatCode="General">
                  <c:v>0.93300000000000005</c:v>
                </c:pt>
                <c:pt idx="3256" formatCode="General">
                  <c:v>0.873</c:v>
                </c:pt>
                <c:pt idx="3257" formatCode="General">
                  <c:v>0.77800000000000002</c:v>
                </c:pt>
                <c:pt idx="3258" formatCode="General">
                  <c:v>0.65</c:v>
                </c:pt>
                <c:pt idx="3259" formatCode="General">
                  <c:v>0.495</c:v>
                </c:pt>
                <c:pt idx="3260" formatCode="General">
                  <c:v>0.31900000000000001</c:v>
                </c:pt>
                <c:pt idx="3261" formatCode="General">
                  <c:v>0.13</c:v>
                </c:pt>
                <c:pt idx="3262" formatCode="General">
                  <c:v>6.7000000000000004E-2</c:v>
                </c:pt>
                <c:pt idx="3263" formatCode="General">
                  <c:v>0.23200000000000001</c:v>
                </c:pt>
                <c:pt idx="3264" formatCode="General">
                  <c:v>0.376</c:v>
                </c:pt>
                <c:pt idx="3265" formatCode="General">
                  <c:v>0.54900000000000004</c:v>
                </c:pt>
                <c:pt idx="3266" formatCode="General">
                  <c:v>0.69599999999999995</c:v>
                </c:pt>
                <c:pt idx="3267" formatCode="General">
                  <c:v>0.81299999999999994</c:v>
                </c:pt>
                <c:pt idx="3268" formatCode="General">
                  <c:v>0.89700000000000002</c:v>
                </c:pt>
                <c:pt idx="3269" formatCode="General">
                  <c:v>0.94299999999999995</c:v>
                </c:pt>
                <c:pt idx="3270" formatCode="General">
                  <c:v>0.94199999999999995</c:v>
                </c:pt>
                <c:pt idx="3271" formatCode="General">
                  <c:v>0.77700000000000002</c:v>
                </c:pt>
                <c:pt idx="3272" formatCode="General">
                  <c:v>0.77700000000000002</c:v>
                </c:pt>
                <c:pt idx="3273" formatCode="General">
                  <c:v>0.28000000000000003</c:v>
                </c:pt>
                <c:pt idx="3274" formatCode="General">
                  <c:v>0.17799999999999999</c:v>
                </c:pt>
                <c:pt idx="3275" formatCode="General">
                  <c:v>9.9000000000000005E-2</c:v>
                </c:pt>
                <c:pt idx="3276" formatCode="General">
                  <c:v>0.02</c:v>
                </c:pt>
                <c:pt idx="3277" formatCode="General">
                  <c:v>0.107</c:v>
                </c:pt>
                <c:pt idx="3278" formatCode="General">
                  <c:v>0.24099999999999999</c:v>
                </c:pt>
                <c:pt idx="3279" formatCode="General">
                  <c:v>0.29799999999999999</c:v>
                </c:pt>
                <c:pt idx="3280" formatCode="General">
                  <c:v>0.25900000000000001</c:v>
                </c:pt>
                <c:pt idx="3281" formatCode="General">
                  <c:v>0.153</c:v>
                </c:pt>
                <c:pt idx="3282" formatCode="General">
                  <c:v>0.04</c:v>
                </c:pt>
                <c:pt idx="3283" formatCode="General">
                  <c:v>0.104</c:v>
                </c:pt>
                <c:pt idx="3284" formatCode="General">
                  <c:v>0.24099999999999999</c:v>
                </c:pt>
                <c:pt idx="3285" formatCode="General">
                  <c:v>0.29299999999999998</c:v>
                </c:pt>
                <c:pt idx="3286" formatCode="General">
                  <c:v>0.28000000000000003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3B-45C5-8DDE-0D17D2FEBBE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1-DE3B-45C5-8DDE-0D17D2FEBBE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DE3B-45C5-8DDE-0D17D2FEBBE3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3-DE3B-45C5-8DDE-0D17D2FEB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0676943"/>
        <c:axId val="1345420351"/>
      </c:scatterChart>
      <c:valAx>
        <c:axId val="1340676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45420351"/>
        <c:crosses val="autoZero"/>
        <c:crossBetween val="midCat"/>
      </c:valAx>
      <c:valAx>
        <c:axId val="1345420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406769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4762</xdr:rowOff>
    </xdr:from>
    <xdr:to>
      <xdr:col>10</xdr:col>
      <xdr:colOff>0</xdr:colOff>
      <xdr:row>16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B7CBBAA-4708-4AB7-9D6D-DD522AC769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</xdr:row>
      <xdr:rowOff>0</xdr:rowOff>
    </xdr:from>
    <xdr:to>
      <xdr:col>16</xdr:col>
      <xdr:colOff>0</xdr:colOff>
      <xdr:row>16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4872311-C66F-46F6-A30C-37BEF5A2C3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16</xdr:row>
      <xdr:rowOff>76200</xdr:rowOff>
    </xdr:from>
    <xdr:to>
      <xdr:col>10</xdr:col>
      <xdr:colOff>0</xdr:colOff>
      <xdr:row>30</xdr:row>
      <xdr:rowOff>152400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0C9F076-B6B1-4654-9276-4BA6583E0C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32">
  <rv s="0">
    <v>12</v>
    <v>3</v>
  </rv>
  <rv s="0">
    <v>12</v>
    <v>186</v>
  </rv>
  <rv s="0">
    <v>12</v>
    <v>579</v>
  </rv>
  <rv s="0">
    <v>12</v>
    <v>188</v>
  </rv>
  <rv s="0">
    <v>12</v>
    <v>56</v>
  </rv>
  <rv s="0">
    <v>12</v>
    <v>541</v>
  </rv>
  <rv s="0">
    <v>12</v>
    <v>522</v>
  </rv>
  <rv s="0">
    <v>12</v>
    <v>504</v>
  </rv>
  <rv s="0">
    <v>12</v>
    <v>485</v>
  </rv>
  <rv s="0">
    <v>12</v>
    <v>511</v>
  </rv>
  <rv s="0">
    <v>12</v>
    <v>476</v>
  </rv>
  <rv s="0">
    <v>12</v>
    <v>458</v>
  </rv>
  <rv s="0">
    <v>12</v>
    <v>44</v>
  </rv>
  <rv s="0">
    <v>12</v>
    <v>423</v>
  </rv>
  <rv s="0">
    <v>12</v>
    <v>34</v>
  </rv>
  <rv s="0">
    <v>12</v>
    <v>81</v>
  </rv>
  <rv s="0">
    <v>12</v>
    <v>309</v>
  </rv>
  <rv s="0">
    <v>12</v>
    <v>61</v>
  </rv>
  <rv s="0">
    <v>12</v>
    <v>773</v>
  </rv>
  <rv s="0">
    <v>12</v>
    <v>904</v>
  </rv>
  <rv s="0">
    <v>12</v>
    <v>997</v>
  </rv>
  <rv s="0">
    <v>12</v>
    <v>943</v>
  </rv>
  <rv s="0">
    <v>12</v>
    <v>875</v>
  </rv>
  <rv s="0">
    <v>12</v>
    <v>722</v>
  </rv>
  <rv s="0">
    <v>12</v>
    <v>55</v>
  </rv>
  <rv s="0">
    <v>12</v>
    <v>354</v>
  </rv>
  <rv s="0">
    <v>12</v>
    <v>14</v>
  </rv>
  <rv s="0">
    <v>12</v>
    <v>072</v>
  </rv>
  <rv s="0">
    <v>12</v>
    <v>191</v>
  </rv>
  <rv s="0">
    <v>12</v>
    <v>65</v>
  </rv>
  <rv s="0">
    <v>12</v>
    <v>822</v>
  </rv>
  <rv s="0">
    <v>12</v>
    <v>696</v>
  </rv>
  <rv s="0">
    <v>12</v>
    <v>282</v>
  </rv>
  <rv s="0">
    <v>12</v>
    <v>142</v>
  </rv>
  <rv s="0">
    <v>12</v>
    <v>535</v>
  </rv>
  <rv s="0">
    <v>12</v>
    <v>697</v>
  </rv>
  <rv s="0">
    <v>12</v>
    <v>181</v>
  </rv>
  <rv s="0">
    <v>12</v>
    <v>399</v>
  </rv>
  <rv s="0">
    <v>12</v>
    <v>578</v>
  </rv>
  <rv s="0">
    <v>12</v>
    <v>733</v>
  </rv>
  <rv s="0">
    <v>12</v>
    <v>856</v>
  </rv>
  <rv s="0">
    <v>12</v>
    <v>944</v>
  </rv>
  <rv s="0">
    <v>12</v>
    <v>993</v>
  </rv>
  <rv s="0">
    <v>12</v>
    <v>964</v>
  </rv>
  <rv s="0">
    <v>12</v>
    <v>826</v>
  </rv>
  <rv s="0">
    <v>12</v>
    <v>684</v>
  </rv>
  <rv s="0">
    <v>12</v>
    <v>521</v>
  </rv>
  <rv s="0">
    <v>12</v>
    <v>336</v>
  </rv>
  <rv s="0">
    <v>12</v>
    <v>128</v>
  </rv>
  <rv s="0">
    <v>12</v>
    <v>062</v>
  </rv>
  <rv s="0">
    <v>12</v>
    <v>488</v>
  </rv>
  <rv s="0">
    <v>12</v>
    <v>806</v>
  </rv>
  <rv s="0">
    <v>12</v>
    <v>678</v>
  </rv>
  <rv s="0">
    <v>12</v>
    <v>273</v>
  </rv>
  <rv s="0">
    <v>12</v>
    <v>145</v>
  </rv>
  <rv s="0">
    <v>12</v>
    <v>372</v>
  </rv>
  <rv s="0">
    <v>12</v>
    <v>586</v>
  </rv>
  <rv s="0">
    <v>12</v>
    <v>185</v>
  </rv>
  <rv s="0">
    <v>12</v>
    <v>362</v>
  </rv>
  <rv s="0">
    <v>12</v>
    <v>545</v>
  </rv>
  <rv s="0">
    <v>12</v>
    <v>742</v>
  </rv>
  <rv s="0">
    <v>12</v>
    <v>833</v>
  </rv>
  <rv s="0">
    <v>12</v>
    <v>889</v>
  </rv>
  <rv s="0">
    <v>12</v>
    <v>908</v>
  </rv>
  <rv s="0">
    <v>12</v>
    <v>62</v>
  </rv>
  <rv s="0">
    <v>12</v>
    <v>472</v>
  </rv>
  <rv s="0">
    <v>12</v>
    <v>304</v>
  </rv>
  <rv s="0">
    <v>12</v>
    <v>111</v>
  </rv>
  <rv s="0">
    <v>12</v>
    <v>065</v>
  </rv>
  <rv s="0">
    <v>12</v>
    <v>492</v>
  </rv>
  <rv s="0">
    <v>12</v>
    <v>768</v>
  </rv>
  <rv s="0">
    <v>12</v>
    <v>646</v>
  </rv>
  <rv s="0">
    <v>12</v>
    <v>259</v>
  </rv>
  <rv s="0">
    <v>12</v>
    <v>377</v>
  </rv>
  <rv s="0">
    <v>12</v>
    <v>58</v>
  </rv>
  <rv s="0">
    <v>12</v>
    <v>053</v>
  </rv>
  <rv s="0">
    <v>12</v>
    <v>257</v>
  </rv>
  <rv s="0">
    <v>12</v>
    <v>525</v>
  </rv>
  <rv s="0">
    <v>12</v>
    <v>628</v>
  </rv>
  <rv s="0">
    <v>12</v>
    <v>705</v>
  </rv>
  <rv s="0">
    <v>12</v>
    <v>753</v>
  </rv>
  <rv s="0">
    <v>12</v>
    <v>769</v>
  </rv>
  <rv s="0">
    <v>12</v>
    <v>091</v>
  </rv>
  <rv s="0">
    <v>12</v>
    <v>122</v>
  </rv>
  <rv s="0">
    <v>12</v>
    <v>237</v>
  </rv>
  <rv s="0">
    <v>12</v>
    <v>599</v>
  </rv>
  <rv s="0">
    <v>12</v>
    <v>93</v>
  </rv>
  <rv s="0">
    <v>12</v>
    <v>24</v>
  </rv>
  <rv s="0">
    <v>12</v>
    <v>002</v>
  </rv>
  <rv s="0">
    <v>12</v>
    <v>129</v>
  </rv>
  <rv s="0">
    <v>12</v>
    <v>293</v>
  </rv>
  <rv s="0">
    <v>12</v>
    <v>47</v>
  </rv>
  <rv s="0">
    <v>12</v>
    <v>563</v>
  </rv>
  <rv s="0">
    <v>12</v>
    <v>528</v>
  </rv>
  <rv s="0">
    <v>12</v>
    <v>393</v>
  </rv>
  <rv s="0">
    <v>12</v>
    <v>193</v>
  </rv>
  <rv s="0">
    <v>12</v>
    <v>009</v>
  </rv>
  <rv s="0">
    <v>12</v>
    <v>42</v>
  </rv>
  <rv s="0">
    <v>12</v>
    <v>576</v>
  </rv>
  <rv s="0">
    <v>12</v>
    <v>828</v>
  </rv>
  <rv s="0">
    <v>12</v>
    <v>829</v>
  </rv>
  <rv s="0">
    <v>12</v>
    <v>214</v>
  </rv>
  <rv s="0">
    <v>12</v>
    <v>471</v>
  </rv>
  <rv s="0">
    <v>12</v>
    <v>359</v>
  </rv>
  <rv s="0">
    <v>12</v>
    <v>613</v>
  </rv>
  <rv s="0">
    <v>12</v>
    <v>841</v>
  </rv>
  <rv s="0">
    <v>12</v>
    <v>909</v>
  </rv>
  <rv s="0">
    <v>12</v>
    <v>692</v>
  </rv>
  <rv s="0">
    <v>12</v>
    <v>446</v>
  </rv>
  <rv s="0">
    <v>12</v>
    <v>18</v>
  </rv>
  <rv s="0">
    <v>12</v>
    <v>241</v>
  </rv>
  <rv s="0">
    <v>12</v>
    <v>427</v>
  </rv>
  <rv s="0">
    <v>12</v>
    <v>232</v>
  </rv>
  <rv s="0">
    <v>12</v>
    <v>376</v>
  </rv>
  <rv s="0">
    <v>12</v>
    <v>549</v>
  </rv>
  <rv s="0">
    <v>12</v>
    <v>813</v>
  </rv>
  <rv s="0">
    <v>12</v>
    <v>897</v>
  </rv>
  <rv s="0">
    <v>12</v>
    <v>95</v>
  </rv>
  <rv s="0">
    <v>12</v>
    <v>934</v>
  </rv>
  <rv s="0">
    <v>12</v>
    <v>873</v>
  </rv>
  <rv s="0">
    <v>12</v>
    <v>778</v>
  </rv>
  <rv s="0">
    <v>12</v>
    <v>495</v>
  </rv>
  <rv s="0">
    <v>12</v>
    <v>319</v>
  </rv>
  <rv s="0">
    <v>12</v>
    <v>127</v>
  </rv>
  <rv s="0">
    <v>12</v>
    <v>114</v>
  </rv>
  <rv s="0">
    <v>12</v>
    <v>276</v>
  </rv>
  <rv s="0">
    <v>12</v>
    <v>104</v>
  </rv>
  <rv s="0">
    <v>12</v>
    <v>278</v>
  </rv>
  <rv s="0">
    <v>12</v>
    <v>295</v>
  </rv>
  <rv s="0">
    <v>12</v>
    <v>28</v>
  </rv>
  <rv s="0">
    <v>12</v>
    <v>178</v>
  </rv>
  <rv s="0">
    <v>12</v>
    <v>017</v>
  </rv>
</rvData>
</file>

<file path=xl/richData/rdrichvaluestructure.xml><?xml version="1.0" encoding="utf-8"?>
<rvStructures xmlns="http://schemas.microsoft.com/office/spreadsheetml/2017/richdata" count="1">
  <s t="_error">
    <k n="errorType" t="i"/>
    <k n="field" t="s"/>
  </s>
</rvStructur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7606A-CFA3-4CFB-87D0-4357A2ECC331}">
  <sheetPr codeName="Hoja3"/>
  <dimension ref="A1:C3287"/>
  <sheetViews>
    <sheetView tabSelected="1" zoomScale="70" zoomScaleNormal="70" workbookViewId="0">
      <selection activeCell="D10" sqref="D10"/>
    </sheetView>
  </sheetViews>
  <sheetFormatPr baseColWidth="10" defaultRowHeight="15" x14ac:dyDescent="0.25"/>
  <sheetData>
    <row r="1" spans="1:3" x14ac:dyDescent="0.25">
      <c r="A1">
        <v>0</v>
      </c>
      <c r="B1" t="s">
        <v>0</v>
      </c>
      <c r="C1" t="s">
        <v>1</v>
      </c>
    </row>
    <row r="2" spans="1:3" x14ac:dyDescent="0.25">
      <c r="A2" s="1">
        <v>-4511</v>
      </c>
      <c r="B2" s="1">
        <v>14124</v>
      </c>
      <c r="C2" t="s">
        <v>1</v>
      </c>
    </row>
    <row r="3" spans="1:3" x14ac:dyDescent="0.25">
      <c r="A3" s="1">
        <v>-10176</v>
      </c>
      <c r="B3" s="1">
        <v>14032</v>
      </c>
      <c r="C3" t="s">
        <v>1</v>
      </c>
    </row>
    <row r="4" spans="1:3" x14ac:dyDescent="0.25">
      <c r="A4" s="1">
        <v>-12428</v>
      </c>
      <c r="B4" s="1">
        <v>13598</v>
      </c>
      <c r="C4" t="s">
        <v>1</v>
      </c>
    </row>
    <row r="5" spans="1:3" x14ac:dyDescent="0.25">
      <c r="A5" s="1">
        <v>-14398</v>
      </c>
      <c r="B5" s="1">
        <v>12422</v>
      </c>
      <c r="C5" t="s">
        <v>1</v>
      </c>
    </row>
    <row r="6" spans="1:3" x14ac:dyDescent="0.25">
      <c r="A6" s="1">
        <v>-15848</v>
      </c>
      <c r="B6" s="1">
        <v>10645</v>
      </c>
      <c r="C6" t="s">
        <v>1</v>
      </c>
    </row>
    <row r="7" spans="1:3" x14ac:dyDescent="0.25">
      <c r="A7" s="1">
        <v>-16693</v>
      </c>
      <c r="B7" s="1">
        <v>7366</v>
      </c>
      <c r="C7" t="s">
        <v>1</v>
      </c>
    </row>
    <row r="8" spans="1:3" x14ac:dyDescent="0.25">
      <c r="A8" s="1">
        <v>-16624</v>
      </c>
      <c r="B8" s="1">
        <v>-3434</v>
      </c>
      <c r="C8" t="s">
        <v>1</v>
      </c>
    </row>
    <row r="9" spans="1:3" x14ac:dyDescent="0.25">
      <c r="A9" s="1">
        <v>-16555</v>
      </c>
      <c r="B9" s="1">
        <v>-7700</v>
      </c>
      <c r="C9" t="s">
        <v>1</v>
      </c>
    </row>
    <row r="10" spans="1:3" x14ac:dyDescent="0.25">
      <c r="A10" s="1">
        <v>-16121</v>
      </c>
      <c r="B10" s="1">
        <v>-9952</v>
      </c>
      <c r="C10" t="s">
        <v>1</v>
      </c>
    </row>
    <row r="11" spans="1:3" x14ac:dyDescent="0.25">
      <c r="A11" s="1">
        <v>-14945</v>
      </c>
      <c r="B11" s="1">
        <v>-11921</v>
      </c>
      <c r="C11" t="s">
        <v>1</v>
      </c>
    </row>
    <row r="12" spans="1:3" x14ac:dyDescent="0.25">
      <c r="A12" s="1">
        <v>-13168</v>
      </c>
      <c r="B12" s="1">
        <v>-13371</v>
      </c>
      <c r="C12" t="s">
        <v>1</v>
      </c>
    </row>
    <row r="13" spans="1:3" x14ac:dyDescent="0.25">
      <c r="A13" s="1">
        <v>-9888</v>
      </c>
      <c r="B13" s="1">
        <v>-14216</v>
      </c>
      <c r="C13" t="s">
        <v>1</v>
      </c>
    </row>
    <row r="14" spans="1:3" x14ac:dyDescent="0.25">
      <c r="A14" s="1">
        <v>4511</v>
      </c>
      <c r="B14" s="1">
        <v>-14124</v>
      </c>
      <c r="C14" t="s">
        <v>1</v>
      </c>
    </row>
    <row r="15" spans="1:3" x14ac:dyDescent="0.25">
      <c r="A15" s="1">
        <v>10176</v>
      </c>
      <c r="B15" s="1">
        <v>-14032</v>
      </c>
      <c r="C15" t="s">
        <v>1</v>
      </c>
    </row>
    <row r="16" spans="1:3" x14ac:dyDescent="0.25">
      <c r="A16" s="1">
        <v>12428</v>
      </c>
      <c r="B16" s="1">
        <v>-13598</v>
      </c>
      <c r="C16" t="s">
        <v>1</v>
      </c>
    </row>
    <row r="17" spans="1:3" x14ac:dyDescent="0.25">
      <c r="A17" s="1">
        <v>14398</v>
      </c>
      <c r="B17" s="1">
        <v>-12422</v>
      </c>
      <c r="C17" t="s">
        <v>1</v>
      </c>
    </row>
    <row r="18" spans="1:3" x14ac:dyDescent="0.25">
      <c r="A18" s="1">
        <v>15848</v>
      </c>
      <c r="B18" s="1">
        <v>-10645</v>
      </c>
      <c r="C18" t="s">
        <v>1</v>
      </c>
    </row>
    <row r="19" spans="1:3" x14ac:dyDescent="0.25">
      <c r="A19" s="1">
        <v>16693</v>
      </c>
      <c r="B19" s="1">
        <v>-7366</v>
      </c>
      <c r="C19" t="s">
        <v>1</v>
      </c>
    </row>
    <row r="20" spans="1:3" x14ac:dyDescent="0.25">
      <c r="A20" s="1">
        <v>16624</v>
      </c>
      <c r="B20" s="1">
        <v>3434</v>
      </c>
      <c r="C20" t="s">
        <v>1</v>
      </c>
    </row>
    <row r="21" spans="1:3" x14ac:dyDescent="0.25">
      <c r="A21" s="1">
        <v>16555</v>
      </c>
      <c r="B21" s="1">
        <v>7699</v>
      </c>
      <c r="C21" t="s">
        <v>1</v>
      </c>
    </row>
    <row r="22" spans="1:3" x14ac:dyDescent="0.25">
      <c r="A22" s="1">
        <v>16121</v>
      </c>
      <c r="B22" s="1">
        <v>9952</v>
      </c>
      <c r="C22" t="s">
        <v>1</v>
      </c>
    </row>
    <row r="23" spans="1:3" x14ac:dyDescent="0.25">
      <c r="A23" s="1">
        <v>14945</v>
      </c>
      <c r="B23" s="1">
        <v>11921</v>
      </c>
      <c r="C23" t="s">
        <v>1</v>
      </c>
    </row>
    <row r="24" spans="1:3" x14ac:dyDescent="0.25">
      <c r="A24" s="1">
        <v>13168</v>
      </c>
      <c r="B24" s="1">
        <v>13371</v>
      </c>
      <c r="C24" t="s">
        <v>1</v>
      </c>
    </row>
    <row r="25" spans="1:3" x14ac:dyDescent="0.25">
      <c r="A25" s="1">
        <v>9888</v>
      </c>
      <c r="B25" s="1">
        <v>14216</v>
      </c>
      <c r="C25" t="s">
        <v>1</v>
      </c>
    </row>
    <row r="26" spans="1:3" x14ac:dyDescent="0.25">
      <c r="A26" s="1">
        <v>-4391</v>
      </c>
      <c r="B26" s="1">
        <v>14125</v>
      </c>
      <c r="C26" t="s">
        <v>1</v>
      </c>
    </row>
    <row r="27" spans="1:3" x14ac:dyDescent="0.25">
      <c r="A27" s="1">
        <v>-8031</v>
      </c>
      <c r="B27" s="1">
        <v>5394</v>
      </c>
      <c r="C27" t="s">
        <v>1</v>
      </c>
    </row>
    <row r="28" spans="1:3" x14ac:dyDescent="0.25">
      <c r="A28" s="1">
        <v>-7974</v>
      </c>
      <c r="B28" s="1">
        <v>1906</v>
      </c>
      <c r="C28" t="s">
        <v>1</v>
      </c>
    </row>
    <row r="29" spans="1:3" x14ac:dyDescent="0.25">
      <c r="A29" s="1">
        <v>-7974</v>
      </c>
      <c r="B29" s="1">
        <v>-2050</v>
      </c>
      <c r="C29" t="s">
        <v>1</v>
      </c>
    </row>
    <row r="30" spans="1:3" x14ac:dyDescent="0.25">
      <c r="A30" s="1">
        <v>-7915</v>
      </c>
      <c r="B30" s="1">
        <v>-5554</v>
      </c>
      <c r="C30" t="s">
        <v>1</v>
      </c>
    </row>
    <row r="31" spans="1:3" x14ac:dyDescent="0.25">
      <c r="A31" s="1">
        <v>-3028</v>
      </c>
      <c r="B31" s="1">
        <v>-5475</v>
      </c>
      <c r="C31" t="s">
        <v>1</v>
      </c>
    </row>
    <row r="32" spans="1:3" x14ac:dyDescent="0.25">
      <c r="A32" s="1">
        <v>3126</v>
      </c>
      <c r="B32" s="1">
        <v>-5475</v>
      </c>
      <c r="C32" t="s">
        <v>1</v>
      </c>
    </row>
    <row r="33" spans="1:3" x14ac:dyDescent="0.25">
      <c r="A33" s="1">
        <v>8031</v>
      </c>
      <c r="B33" s="1">
        <v>-5394</v>
      </c>
      <c r="C33" t="s">
        <v>1</v>
      </c>
    </row>
    <row r="34" spans="1:3" x14ac:dyDescent="0.25">
      <c r="A34" s="1">
        <v>7974</v>
      </c>
      <c r="B34" s="1">
        <v>-1906</v>
      </c>
      <c r="C34" t="s">
        <v>1</v>
      </c>
    </row>
    <row r="35" spans="1:3" x14ac:dyDescent="0.25">
      <c r="A35" s="1">
        <v>7974</v>
      </c>
      <c r="B35" s="1">
        <v>2050</v>
      </c>
      <c r="C35" t="s">
        <v>1</v>
      </c>
    </row>
    <row r="36" spans="1:3" x14ac:dyDescent="0.25">
      <c r="A36" s="1">
        <v>7916</v>
      </c>
      <c r="B36" s="1">
        <v>5554</v>
      </c>
      <c r="C36" t="s">
        <v>1</v>
      </c>
    </row>
    <row r="37" spans="1:3" x14ac:dyDescent="0.25">
      <c r="A37" s="1">
        <v>3028</v>
      </c>
      <c r="B37" s="1">
        <v>5475</v>
      </c>
      <c r="C37" t="s">
        <v>1</v>
      </c>
    </row>
    <row r="38" spans="1:3" x14ac:dyDescent="0.25">
      <c r="A38" s="1">
        <v>-3126</v>
      </c>
      <c r="B38" s="1">
        <v>5475</v>
      </c>
      <c r="C38" t="s">
        <v>1</v>
      </c>
    </row>
    <row r="39" spans="1:3" x14ac:dyDescent="0.25">
      <c r="A39" s="1">
        <v>-7911</v>
      </c>
      <c r="B39" s="1">
        <v>5396</v>
      </c>
      <c r="C39" t="s">
        <v>1</v>
      </c>
    </row>
    <row r="40" spans="1:3" x14ac:dyDescent="0.25">
      <c r="A40" s="1">
        <v>-7396</v>
      </c>
      <c r="B40" s="1">
        <v>4779</v>
      </c>
      <c r="C40" t="s">
        <v>1</v>
      </c>
    </row>
    <row r="41" spans="1:3" x14ac:dyDescent="0.25">
      <c r="A41" s="1">
        <v>-7349</v>
      </c>
      <c r="B41" s="1">
        <v>1911</v>
      </c>
      <c r="C41" t="s">
        <v>1</v>
      </c>
    </row>
    <row r="42" spans="1:3" x14ac:dyDescent="0.25">
      <c r="A42" s="1">
        <v>-7349</v>
      </c>
      <c r="B42" s="1">
        <v>-2045</v>
      </c>
      <c r="C42" t="s">
        <v>1</v>
      </c>
    </row>
    <row r="43" spans="1:3" x14ac:dyDescent="0.25">
      <c r="A43" s="1">
        <v>-7301</v>
      </c>
      <c r="B43" s="1">
        <v>-4919</v>
      </c>
      <c r="C43" t="s">
        <v>1</v>
      </c>
    </row>
    <row r="44" spans="1:3" x14ac:dyDescent="0.25">
      <c r="A44" s="1">
        <v>-3033</v>
      </c>
      <c r="B44" s="1">
        <v>-4850</v>
      </c>
      <c r="C44" t="s">
        <v>1</v>
      </c>
    </row>
    <row r="45" spans="1:3" x14ac:dyDescent="0.25">
      <c r="A45" s="1">
        <v>3121</v>
      </c>
      <c r="B45" s="1">
        <v>-4850</v>
      </c>
      <c r="C45" t="s">
        <v>1</v>
      </c>
    </row>
    <row r="46" spans="1:3" x14ac:dyDescent="0.25">
      <c r="A46" s="1">
        <v>7396</v>
      </c>
      <c r="B46" s="1">
        <v>-4779</v>
      </c>
      <c r="C46" t="s">
        <v>1</v>
      </c>
    </row>
    <row r="47" spans="1:3" x14ac:dyDescent="0.25">
      <c r="A47" s="1">
        <v>7349</v>
      </c>
      <c r="B47" s="1">
        <v>-1911</v>
      </c>
      <c r="C47" t="s">
        <v>1</v>
      </c>
    </row>
    <row r="48" spans="1:3" x14ac:dyDescent="0.25">
      <c r="A48" s="1">
        <v>7349</v>
      </c>
      <c r="B48" s="1">
        <v>2045</v>
      </c>
      <c r="C48" t="s">
        <v>1</v>
      </c>
    </row>
    <row r="49" spans="1:3" x14ac:dyDescent="0.25">
      <c r="A49" s="1">
        <v>7302</v>
      </c>
      <c r="B49" s="1">
        <v>4919</v>
      </c>
      <c r="C49" t="s">
        <v>1</v>
      </c>
    </row>
    <row r="50" spans="1:3" x14ac:dyDescent="0.25">
      <c r="A50" s="1">
        <v>3033</v>
      </c>
      <c r="B50" s="1">
        <v>4850</v>
      </c>
      <c r="C50" t="s">
        <v>1</v>
      </c>
    </row>
    <row r="51" spans="1:3" x14ac:dyDescent="0.25">
      <c r="A51" s="1">
        <v>-3121</v>
      </c>
      <c r="B51" s="1">
        <v>4850</v>
      </c>
      <c r="C51" t="s">
        <v>1</v>
      </c>
    </row>
    <row r="52" spans="1:3" x14ac:dyDescent="0.25">
      <c r="A52" s="1">
        <v>-7276</v>
      </c>
      <c r="B52" s="1">
        <v>4781</v>
      </c>
      <c r="C52" t="s">
        <v>1</v>
      </c>
    </row>
    <row r="53" spans="1:3" x14ac:dyDescent="0.25">
      <c r="A53" s="1">
        <v>-8196</v>
      </c>
      <c r="B53" s="1">
        <v>4769</v>
      </c>
      <c r="C53" t="s">
        <v>1</v>
      </c>
    </row>
    <row r="54" spans="1:3" x14ac:dyDescent="0.25">
      <c r="A54" s="1">
        <v>-9077</v>
      </c>
      <c r="B54" s="1">
        <v>6449</v>
      </c>
      <c r="C54" t="s">
        <v>1</v>
      </c>
    </row>
    <row r="55" spans="1:3" x14ac:dyDescent="0.25">
      <c r="A55" s="1">
        <v>-9024</v>
      </c>
      <c r="B55" s="1">
        <v>3216</v>
      </c>
      <c r="C55" t="s">
        <v>1</v>
      </c>
    </row>
    <row r="56" spans="1:3" x14ac:dyDescent="0.25">
      <c r="A56" s="1">
        <v>-9024</v>
      </c>
      <c r="B56" s="1">
        <v>-3384</v>
      </c>
      <c r="C56" t="s">
        <v>1</v>
      </c>
    </row>
    <row r="57" spans="1:3" x14ac:dyDescent="0.25">
      <c r="A57" s="1">
        <v>-8972</v>
      </c>
      <c r="B57" s="1">
        <v>-6600</v>
      </c>
      <c r="C57" t="s">
        <v>1</v>
      </c>
    </row>
    <row r="58" spans="1:3" x14ac:dyDescent="0.25">
      <c r="A58" s="1">
        <v>-4339</v>
      </c>
      <c r="B58" s="1">
        <v>-6525</v>
      </c>
      <c r="C58" t="s">
        <v>1</v>
      </c>
    </row>
    <row r="59" spans="1:3" x14ac:dyDescent="0.25">
      <c r="A59" s="1">
        <v>4461</v>
      </c>
      <c r="B59" s="1">
        <v>-6525</v>
      </c>
      <c r="C59" t="s">
        <v>1</v>
      </c>
    </row>
    <row r="60" spans="1:3" x14ac:dyDescent="0.25">
      <c r="A60" s="1">
        <v>9077</v>
      </c>
      <c r="B60" s="1">
        <v>-6449</v>
      </c>
      <c r="C60" t="s">
        <v>1</v>
      </c>
    </row>
    <row r="61" spans="1:3" x14ac:dyDescent="0.25">
      <c r="A61" s="1">
        <v>9024</v>
      </c>
      <c r="B61" s="1">
        <v>-3216</v>
      </c>
      <c r="C61" t="s">
        <v>1</v>
      </c>
    </row>
    <row r="62" spans="1:3" x14ac:dyDescent="0.25">
      <c r="A62" s="1">
        <v>9024</v>
      </c>
      <c r="B62" s="1">
        <v>3384</v>
      </c>
      <c r="C62" t="s">
        <v>1</v>
      </c>
    </row>
    <row r="63" spans="1:3" x14ac:dyDescent="0.25">
      <c r="A63" s="1">
        <v>8972</v>
      </c>
      <c r="B63" s="1">
        <v>6600</v>
      </c>
      <c r="C63" t="s">
        <v>1</v>
      </c>
    </row>
    <row r="64" spans="1:3" x14ac:dyDescent="0.25">
      <c r="A64" s="1">
        <v>4339</v>
      </c>
      <c r="B64" s="1">
        <v>6525</v>
      </c>
      <c r="C64" t="s">
        <v>1</v>
      </c>
    </row>
    <row r="65" spans="1:3" x14ac:dyDescent="0.25">
      <c r="A65" s="1">
        <v>-4461</v>
      </c>
      <c r="B65" s="1">
        <v>6525</v>
      </c>
      <c r="C65" t="s">
        <v>1</v>
      </c>
    </row>
    <row r="66" spans="1:3" x14ac:dyDescent="0.25">
      <c r="A66" s="1">
        <v>-8957</v>
      </c>
      <c r="B66" s="1">
        <v>6451</v>
      </c>
      <c r="C66" t="s">
        <v>1</v>
      </c>
    </row>
    <row r="67" spans="1:3" x14ac:dyDescent="0.25">
      <c r="A67" s="1">
        <v>-9712</v>
      </c>
      <c r="B67" s="1">
        <v>7064</v>
      </c>
      <c r="C67" t="s">
        <v>1</v>
      </c>
    </row>
    <row r="68" spans="1:3" x14ac:dyDescent="0.25">
      <c r="A68" s="1">
        <v>-9649</v>
      </c>
      <c r="B68" s="1">
        <v>3211</v>
      </c>
      <c r="C68" t="s">
        <v>1</v>
      </c>
    </row>
    <row r="69" spans="1:3" x14ac:dyDescent="0.25">
      <c r="A69" s="1">
        <v>-9649</v>
      </c>
      <c r="B69" s="1">
        <v>-3389</v>
      </c>
      <c r="C69" t="s">
        <v>1</v>
      </c>
    </row>
    <row r="70" spans="1:3" x14ac:dyDescent="0.25">
      <c r="A70" s="1">
        <v>-9586</v>
      </c>
      <c r="B70" s="1">
        <v>-7235</v>
      </c>
      <c r="C70" t="s">
        <v>1</v>
      </c>
    </row>
    <row r="71" spans="1:3" x14ac:dyDescent="0.25">
      <c r="A71" s="1">
        <v>-4334</v>
      </c>
      <c r="B71" s="1">
        <v>-7149</v>
      </c>
      <c r="C71" t="s">
        <v>1</v>
      </c>
    </row>
    <row r="72" spans="1:3" x14ac:dyDescent="0.25">
      <c r="A72" s="1">
        <v>4466</v>
      </c>
      <c r="B72" s="1">
        <v>-7149</v>
      </c>
      <c r="C72" t="s">
        <v>1</v>
      </c>
    </row>
    <row r="73" spans="1:3" x14ac:dyDescent="0.25">
      <c r="A73" s="1">
        <v>9712</v>
      </c>
      <c r="B73" s="1">
        <v>-7064</v>
      </c>
      <c r="C73" t="s">
        <v>1</v>
      </c>
    </row>
    <row r="74" spans="1:3" x14ac:dyDescent="0.25">
      <c r="A74" s="1">
        <v>9649</v>
      </c>
      <c r="B74" s="1">
        <v>-3211</v>
      </c>
      <c r="C74" t="s">
        <v>1</v>
      </c>
    </row>
    <row r="75" spans="1:3" x14ac:dyDescent="0.25">
      <c r="A75" s="1">
        <v>9649</v>
      </c>
      <c r="B75" s="1">
        <v>3389</v>
      </c>
      <c r="C75" t="s">
        <v>1</v>
      </c>
    </row>
    <row r="76" spans="1:3" x14ac:dyDescent="0.25">
      <c r="A76" s="1">
        <v>9586</v>
      </c>
      <c r="B76" s="1">
        <v>7235</v>
      </c>
      <c r="C76" t="s">
        <v>1</v>
      </c>
    </row>
    <row r="77" spans="1:3" x14ac:dyDescent="0.25">
      <c r="A77" s="1">
        <v>4334</v>
      </c>
      <c r="B77" s="1">
        <v>7149</v>
      </c>
      <c r="C77" t="s">
        <v>1</v>
      </c>
    </row>
    <row r="78" spans="1:3" x14ac:dyDescent="0.25">
      <c r="A78" s="1">
        <v>-4466</v>
      </c>
      <c r="B78" s="1">
        <v>7149</v>
      </c>
      <c r="C78" t="s">
        <v>1</v>
      </c>
    </row>
    <row r="79" spans="1:3" x14ac:dyDescent="0.25">
      <c r="A79" s="1">
        <v>-9592</v>
      </c>
      <c r="B79" s="1">
        <v>7066</v>
      </c>
      <c r="C79" t="s">
        <v>1</v>
      </c>
    </row>
    <row r="80" spans="1:3" x14ac:dyDescent="0.25">
      <c r="A80" s="1">
        <v>-9303</v>
      </c>
      <c r="B80" s="1">
        <v>6376</v>
      </c>
      <c r="C80" t="s">
        <v>1</v>
      </c>
    </row>
    <row r="81" spans="1:3" x14ac:dyDescent="0.25">
      <c r="A81" s="1">
        <v>-8550</v>
      </c>
      <c r="B81" s="1">
        <v>5698</v>
      </c>
      <c r="C81" t="s">
        <v>1</v>
      </c>
    </row>
    <row r="82" spans="1:3" x14ac:dyDescent="0.25">
      <c r="A82" s="1">
        <v>-8499</v>
      </c>
      <c r="B82" s="1">
        <v>1901</v>
      </c>
      <c r="C82" t="s">
        <v>1</v>
      </c>
    </row>
    <row r="83" spans="1:3" x14ac:dyDescent="0.25">
      <c r="A83" s="1">
        <v>-8489</v>
      </c>
      <c r="B83" s="1">
        <v>-3379</v>
      </c>
      <c r="C83" t="s">
        <v>1</v>
      </c>
    </row>
    <row r="84" spans="1:3" x14ac:dyDescent="0.25">
      <c r="A84" s="1">
        <v>-8446</v>
      </c>
      <c r="B84" s="1">
        <v>-5876</v>
      </c>
      <c r="C84" t="s">
        <v>1</v>
      </c>
    </row>
    <row r="85" spans="1:3" x14ac:dyDescent="0.25">
      <c r="A85" s="1">
        <v>-8418</v>
      </c>
      <c r="B85" s="1">
        <v>-6028</v>
      </c>
      <c r="C85" t="s">
        <v>1</v>
      </c>
    </row>
    <row r="86" spans="1:3" x14ac:dyDescent="0.25">
      <c r="A86" s="1">
        <v>-8218</v>
      </c>
      <c r="B86" s="1">
        <v>-6074</v>
      </c>
      <c r="C86" t="s">
        <v>1</v>
      </c>
    </row>
    <row r="87" spans="1:3" x14ac:dyDescent="0.25">
      <c r="A87" s="1">
        <v>-3024</v>
      </c>
      <c r="B87" s="1">
        <v>-6000</v>
      </c>
      <c r="C87" t="s">
        <v>1</v>
      </c>
    </row>
    <row r="88" spans="1:3" x14ac:dyDescent="0.25">
      <c r="A88" s="1">
        <v>3132</v>
      </c>
      <c r="B88" s="1">
        <v>-6000</v>
      </c>
      <c r="C88" t="s">
        <v>1</v>
      </c>
    </row>
    <row r="89" spans="1:3" x14ac:dyDescent="0.25">
      <c r="A89" s="1">
        <v>8352</v>
      </c>
      <c r="B89" s="1">
        <v>-5925</v>
      </c>
      <c r="C89" t="s">
        <v>1</v>
      </c>
    </row>
    <row r="90" spans="1:3" x14ac:dyDescent="0.25">
      <c r="A90" s="1">
        <v>8506</v>
      </c>
      <c r="B90" s="1">
        <v>-5896</v>
      </c>
      <c r="C90" t="s">
        <v>1</v>
      </c>
    </row>
    <row r="91" spans="1:3" x14ac:dyDescent="0.25">
      <c r="A91" s="1">
        <v>8550</v>
      </c>
      <c r="B91" s="1">
        <v>-5698</v>
      </c>
      <c r="C91" t="s">
        <v>1</v>
      </c>
    </row>
    <row r="92" spans="1:3" x14ac:dyDescent="0.25">
      <c r="A92" s="1">
        <v>8499</v>
      </c>
      <c r="B92" s="1">
        <v>-1901</v>
      </c>
      <c r="C92" t="s">
        <v>1</v>
      </c>
    </row>
    <row r="93" spans="1:3" x14ac:dyDescent="0.25">
      <c r="A93" s="1">
        <v>8499</v>
      </c>
      <c r="B93" s="1">
        <v>2056</v>
      </c>
      <c r="C93" t="s">
        <v>1</v>
      </c>
    </row>
    <row r="94" spans="1:3" x14ac:dyDescent="0.25">
      <c r="A94" s="1">
        <v>8447</v>
      </c>
      <c r="B94" s="1">
        <v>5875</v>
      </c>
      <c r="C94" t="s">
        <v>1</v>
      </c>
    </row>
    <row r="95" spans="1:3" x14ac:dyDescent="0.25">
      <c r="A95" s="1">
        <v>8418</v>
      </c>
      <c r="B95" s="1">
        <v>6029</v>
      </c>
      <c r="C95" t="s">
        <v>1</v>
      </c>
    </row>
    <row r="96" spans="1:3" x14ac:dyDescent="0.25">
      <c r="A96" s="1">
        <v>8220</v>
      </c>
      <c r="B96" s="1">
        <v>6074</v>
      </c>
      <c r="C96" t="s">
        <v>1</v>
      </c>
    </row>
    <row r="97" spans="1:3" x14ac:dyDescent="0.25">
      <c r="A97" s="1">
        <v>3024</v>
      </c>
      <c r="B97" s="1">
        <v>6000</v>
      </c>
      <c r="C97" t="s">
        <v>1</v>
      </c>
    </row>
    <row r="98" spans="1:3" x14ac:dyDescent="0.25">
      <c r="A98" s="1">
        <v>-4456</v>
      </c>
      <c r="B98" s="1">
        <v>5989</v>
      </c>
      <c r="C98" t="s">
        <v>1</v>
      </c>
    </row>
    <row r="99" spans="1:3" x14ac:dyDescent="0.25">
      <c r="A99" s="1">
        <v>-8352</v>
      </c>
      <c r="B99" s="1">
        <v>5925</v>
      </c>
      <c r="C99" t="s">
        <v>1</v>
      </c>
    </row>
    <row r="100" spans="1:3" x14ac:dyDescent="0.25">
      <c r="A100" s="1">
        <v>-8506</v>
      </c>
      <c r="B100" s="1">
        <v>5896</v>
      </c>
      <c r="C100" t="s">
        <v>1</v>
      </c>
    </row>
    <row r="101" spans="1:3" x14ac:dyDescent="0.25">
      <c r="A101" s="1">
        <v>-8524</v>
      </c>
      <c r="B101" s="1">
        <v>5815</v>
      </c>
      <c r="C101" t="s">
        <v>1</v>
      </c>
    </row>
    <row r="102" spans="1:3" x14ac:dyDescent="0.25">
      <c r="A102" s="1">
        <v>-8524</v>
      </c>
      <c r="B102" s="1">
        <v>5815</v>
      </c>
      <c r="C102" s="1">
        <v>1150</v>
      </c>
    </row>
    <row r="103" spans="1:3" x14ac:dyDescent="0.25">
      <c r="A103" s="1">
        <v>-8259</v>
      </c>
      <c r="B103" s="1">
        <v>5228</v>
      </c>
      <c r="C103" s="1">
        <v>1150</v>
      </c>
    </row>
    <row r="104" spans="1:3" x14ac:dyDescent="0.25">
      <c r="A104" s="1">
        <v>-7876</v>
      </c>
      <c r="B104" s="1">
        <v>-4593</v>
      </c>
      <c r="C104" s="1">
        <v>1150</v>
      </c>
    </row>
    <row r="105" spans="1:3" x14ac:dyDescent="0.25">
      <c r="A105" s="1">
        <v>-7812</v>
      </c>
      <c r="B105" s="1">
        <v>-5859</v>
      </c>
      <c r="C105" s="1">
        <v>1150</v>
      </c>
    </row>
    <row r="106" spans="1:3" x14ac:dyDescent="0.25">
      <c r="A106" s="1">
        <v>8259</v>
      </c>
      <c r="B106" s="1">
        <v>-5228</v>
      </c>
      <c r="C106" s="1">
        <v>1150</v>
      </c>
    </row>
    <row r="107" spans="1:3" x14ac:dyDescent="0.25">
      <c r="A107" s="1">
        <v>7824</v>
      </c>
      <c r="B107" s="1">
        <v>5860</v>
      </c>
      <c r="C107" s="1">
        <v>1150</v>
      </c>
    </row>
    <row r="108" spans="1:3" x14ac:dyDescent="0.25">
      <c r="A108" s="1">
        <v>-8139</v>
      </c>
      <c r="B108" s="1">
        <v>5232</v>
      </c>
      <c r="C108" s="1">
        <v>1150</v>
      </c>
    </row>
    <row r="109" spans="1:3" x14ac:dyDescent="0.25">
      <c r="A109" s="1">
        <v>-7586</v>
      </c>
      <c r="B109" s="1">
        <v>4605</v>
      </c>
      <c r="C109" s="1">
        <v>1150</v>
      </c>
    </row>
    <row r="110" spans="1:3" x14ac:dyDescent="0.25">
      <c r="A110" s="1">
        <v>-7197</v>
      </c>
      <c r="B110" s="1">
        <v>-5186</v>
      </c>
      <c r="C110" s="1">
        <v>1150</v>
      </c>
    </row>
    <row r="111" spans="1:3" x14ac:dyDescent="0.25">
      <c r="A111" s="1">
        <v>7586</v>
      </c>
      <c r="B111" s="1">
        <v>-4605</v>
      </c>
      <c r="C111" s="1">
        <v>1150</v>
      </c>
    </row>
    <row r="112" spans="1:3" x14ac:dyDescent="0.25">
      <c r="A112" s="1">
        <v>7201</v>
      </c>
      <c r="B112" s="1">
        <v>5186</v>
      </c>
      <c r="C112" s="1">
        <v>1150</v>
      </c>
    </row>
    <row r="113" spans="1:3" x14ac:dyDescent="0.25">
      <c r="A113" s="1">
        <v>-7466</v>
      </c>
      <c r="B113" s="1">
        <v>4610</v>
      </c>
      <c r="C113" s="1">
        <v>1150</v>
      </c>
    </row>
    <row r="114" spans="1:3" x14ac:dyDescent="0.25">
      <c r="A114" s="1">
        <v>-8376</v>
      </c>
      <c r="B114" s="1">
        <v>4730</v>
      </c>
      <c r="C114" s="1">
        <v>1150</v>
      </c>
    </row>
    <row r="115" spans="1:3" x14ac:dyDescent="0.25">
      <c r="A115" s="1">
        <v>-9198</v>
      </c>
      <c r="B115" s="1">
        <v>6095</v>
      </c>
      <c r="C115" s="1">
        <v>1150</v>
      </c>
    </row>
    <row r="116" spans="1:3" x14ac:dyDescent="0.25">
      <c r="A116" s="1">
        <v>-8691</v>
      </c>
      <c r="B116" s="1">
        <v>-6800</v>
      </c>
      <c r="C116" s="1">
        <v>1150</v>
      </c>
    </row>
    <row r="117" spans="1:3" x14ac:dyDescent="0.25">
      <c r="A117" s="1">
        <v>9198</v>
      </c>
      <c r="B117" s="1">
        <v>-6095</v>
      </c>
      <c r="C117" s="1">
        <v>1150</v>
      </c>
    </row>
    <row r="118" spans="1:3" x14ac:dyDescent="0.25">
      <c r="A118" s="1">
        <v>8691</v>
      </c>
      <c r="B118" s="1">
        <v>6798</v>
      </c>
      <c r="C118" s="1">
        <v>1150</v>
      </c>
    </row>
    <row r="119" spans="1:3" x14ac:dyDescent="0.25">
      <c r="A119" s="1">
        <v>-9078</v>
      </c>
      <c r="B119" s="1">
        <v>6100</v>
      </c>
      <c r="C119" s="1">
        <v>1150</v>
      </c>
    </row>
    <row r="120" spans="1:3" x14ac:dyDescent="0.25">
      <c r="A120" s="1">
        <v>-9871</v>
      </c>
      <c r="B120" s="1">
        <v>6717</v>
      </c>
      <c r="C120" s="1">
        <v>1150</v>
      </c>
    </row>
    <row r="121" spans="1:3" x14ac:dyDescent="0.25">
      <c r="A121" s="1">
        <v>-9313</v>
      </c>
      <c r="B121" s="1">
        <v>-7474</v>
      </c>
      <c r="C121" s="1">
        <v>1150</v>
      </c>
    </row>
    <row r="122" spans="1:3" x14ac:dyDescent="0.25">
      <c r="A122" s="1">
        <v>9871</v>
      </c>
      <c r="B122" s="1">
        <v>-6717</v>
      </c>
      <c r="C122" s="1">
        <v>1150</v>
      </c>
    </row>
    <row r="123" spans="1:3" x14ac:dyDescent="0.25">
      <c r="A123" s="1">
        <v>9314</v>
      </c>
      <c r="B123" s="1">
        <v>7471</v>
      </c>
      <c r="C123" s="1">
        <v>1150</v>
      </c>
    </row>
    <row r="124" spans="1:3" x14ac:dyDescent="0.25">
      <c r="A124" s="1">
        <v>-9751</v>
      </c>
      <c r="B124" s="1">
        <v>6722</v>
      </c>
      <c r="C124" s="1">
        <v>1150</v>
      </c>
    </row>
    <row r="125" spans="1:3" x14ac:dyDescent="0.25">
      <c r="A125" s="1">
        <v>-9596</v>
      </c>
      <c r="B125" s="1">
        <v>5966</v>
      </c>
      <c r="C125" s="1">
        <v>1150</v>
      </c>
    </row>
    <row r="126" spans="1:3" x14ac:dyDescent="0.25">
      <c r="A126" s="1">
        <v>-8724</v>
      </c>
      <c r="B126" s="1">
        <v>5544</v>
      </c>
      <c r="C126" s="1">
        <v>1150</v>
      </c>
    </row>
    <row r="127" spans="1:3" x14ac:dyDescent="0.25">
      <c r="A127" s="1">
        <v>-8326</v>
      </c>
      <c r="B127" s="1">
        <v>-4612</v>
      </c>
      <c r="C127" s="1">
        <v>1150</v>
      </c>
    </row>
    <row r="128" spans="1:3" x14ac:dyDescent="0.25">
      <c r="A128" s="1">
        <v>-8254</v>
      </c>
      <c r="B128" s="1">
        <v>-6212</v>
      </c>
      <c r="C128" s="1">
        <v>1150</v>
      </c>
    </row>
    <row r="129" spans="1:3" x14ac:dyDescent="0.25">
      <c r="A129" s="1">
        <v>-8233</v>
      </c>
      <c r="B129" s="1">
        <v>-6304</v>
      </c>
      <c r="C129" s="1">
        <v>1150</v>
      </c>
    </row>
    <row r="130" spans="1:3" x14ac:dyDescent="0.25">
      <c r="A130" s="1">
        <v>-8124</v>
      </c>
      <c r="B130" s="1">
        <v>-6325</v>
      </c>
      <c r="C130" s="1">
        <v>1150</v>
      </c>
    </row>
    <row r="131" spans="1:3" x14ac:dyDescent="0.25">
      <c r="A131" s="1">
        <v>8611</v>
      </c>
      <c r="B131" s="1">
        <v>-5666</v>
      </c>
      <c r="C131" s="1">
        <v>1150</v>
      </c>
    </row>
    <row r="132" spans="1:3" x14ac:dyDescent="0.25">
      <c r="A132" s="1">
        <v>8708</v>
      </c>
      <c r="B132" s="1">
        <v>-5642</v>
      </c>
      <c r="C132" s="1">
        <v>1150</v>
      </c>
    </row>
    <row r="133" spans="1:3" x14ac:dyDescent="0.25">
      <c r="A133" s="1">
        <v>8724</v>
      </c>
      <c r="B133" s="1">
        <v>-5544</v>
      </c>
      <c r="C133" s="1">
        <v>1150</v>
      </c>
    </row>
    <row r="134" spans="1:3" x14ac:dyDescent="0.25">
      <c r="A134" s="1">
        <v>8262</v>
      </c>
      <c r="B134" s="1">
        <v>6211</v>
      </c>
      <c r="C134" s="1">
        <v>1150</v>
      </c>
    </row>
    <row r="135" spans="1:3" x14ac:dyDescent="0.25">
      <c r="A135" s="1">
        <v>8238</v>
      </c>
      <c r="B135" s="1">
        <v>6308</v>
      </c>
      <c r="C135" s="1">
        <v>1150</v>
      </c>
    </row>
    <row r="136" spans="1:3" x14ac:dyDescent="0.25">
      <c r="A136" s="1">
        <v>8140</v>
      </c>
      <c r="B136" s="1">
        <v>6324</v>
      </c>
      <c r="C136" s="1">
        <v>1150</v>
      </c>
    </row>
    <row r="137" spans="1:3" x14ac:dyDescent="0.25">
      <c r="A137" s="1">
        <v>-8611</v>
      </c>
      <c r="B137" s="1">
        <v>5666</v>
      </c>
      <c r="C137" s="1">
        <v>1150</v>
      </c>
    </row>
    <row r="138" spans="1:3" x14ac:dyDescent="0.25">
      <c r="A138" s="1">
        <v>-8687</v>
      </c>
      <c r="B138" s="1">
        <v>5647</v>
      </c>
      <c r="C138" s="1">
        <v>1150</v>
      </c>
    </row>
    <row r="139" spans="1:3" x14ac:dyDescent="0.25">
      <c r="A139" s="1">
        <v>-8687</v>
      </c>
      <c r="B139" s="1">
        <v>5647</v>
      </c>
      <c r="C139" s="1">
        <v>1950</v>
      </c>
    </row>
    <row r="140" spans="1:3" x14ac:dyDescent="0.25">
      <c r="A140" s="1">
        <v>-8470</v>
      </c>
      <c r="B140" s="1">
        <v>4877</v>
      </c>
      <c r="C140" s="1">
        <v>1950</v>
      </c>
    </row>
    <row r="141" spans="1:3" x14ac:dyDescent="0.25">
      <c r="A141" s="1">
        <v>-7569</v>
      </c>
      <c r="B141" s="1">
        <v>-6182</v>
      </c>
      <c r="C141" s="1">
        <v>1950</v>
      </c>
    </row>
    <row r="142" spans="1:3" x14ac:dyDescent="0.25">
      <c r="A142" s="1">
        <v>8471</v>
      </c>
      <c r="B142" s="1">
        <v>-4877</v>
      </c>
      <c r="C142" s="1">
        <v>1950</v>
      </c>
    </row>
    <row r="143" spans="1:3" x14ac:dyDescent="0.25">
      <c r="A143" s="1">
        <v>7571</v>
      </c>
      <c r="B143" s="1">
        <v>6182</v>
      </c>
      <c r="C143" s="1">
        <v>1950</v>
      </c>
    </row>
    <row r="144" spans="1:3" x14ac:dyDescent="0.25">
      <c r="A144" s="1">
        <v>-8351</v>
      </c>
      <c r="B144" s="1">
        <v>4887</v>
      </c>
      <c r="C144" s="1">
        <v>1950</v>
      </c>
    </row>
    <row r="145" spans="1:3" x14ac:dyDescent="0.25">
      <c r="A145" s="1">
        <v>-7772</v>
      </c>
      <c r="B145" s="1">
        <v>4283</v>
      </c>
      <c r="C145" s="1">
        <v>1950</v>
      </c>
    </row>
    <row r="146" spans="1:3" x14ac:dyDescent="0.25">
      <c r="A146" s="1">
        <v>-6977</v>
      </c>
      <c r="B146" s="1">
        <v>-5483</v>
      </c>
      <c r="C146" s="1">
        <v>1950</v>
      </c>
    </row>
    <row r="147" spans="1:3" x14ac:dyDescent="0.25">
      <c r="A147" s="1">
        <v>7772</v>
      </c>
      <c r="B147" s="1">
        <v>-4283</v>
      </c>
      <c r="C147" s="1">
        <v>1950</v>
      </c>
    </row>
    <row r="148" spans="1:3" x14ac:dyDescent="0.25">
      <c r="A148" s="1">
        <v>6978</v>
      </c>
      <c r="B148" s="1">
        <v>5483</v>
      </c>
      <c r="C148" s="1">
        <v>1950</v>
      </c>
    </row>
    <row r="149" spans="1:3" x14ac:dyDescent="0.25">
      <c r="A149" s="1">
        <v>-7652</v>
      </c>
      <c r="B149" s="1">
        <v>4293</v>
      </c>
      <c r="C149" s="1">
        <v>1950</v>
      </c>
    </row>
    <row r="150" spans="1:3" x14ac:dyDescent="0.25">
      <c r="A150" s="1">
        <v>-8567</v>
      </c>
      <c r="B150" s="1">
        <v>4374</v>
      </c>
      <c r="C150" s="1">
        <v>1950</v>
      </c>
    </row>
    <row r="151" spans="1:3" x14ac:dyDescent="0.25">
      <c r="A151" s="1">
        <v>-9445</v>
      </c>
      <c r="B151" s="1">
        <v>5705</v>
      </c>
      <c r="C151" s="1">
        <v>1950</v>
      </c>
    </row>
    <row r="152" spans="1:3" x14ac:dyDescent="0.25">
      <c r="A152" s="1">
        <v>-8399</v>
      </c>
      <c r="B152" s="1">
        <v>-7156</v>
      </c>
      <c r="C152" s="1">
        <v>1950</v>
      </c>
    </row>
    <row r="153" spans="1:3" x14ac:dyDescent="0.25">
      <c r="A153" s="1">
        <v>9445</v>
      </c>
      <c r="B153" s="1">
        <v>-5705</v>
      </c>
      <c r="C153" s="1">
        <v>1950</v>
      </c>
    </row>
    <row r="154" spans="1:3" x14ac:dyDescent="0.25">
      <c r="A154" s="1">
        <v>8399</v>
      </c>
      <c r="B154" s="1">
        <v>7156</v>
      </c>
      <c r="C154" s="1">
        <v>1950</v>
      </c>
    </row>
    <row r="155" spans="1:3" x14ac:dyDescent="0.25">
      <c r="A155" s="1">
        <v>-9326</v>
      </c>
      <c r="B155" s="1">
        <v>5714</v>
      </c>
      <c r="C155" s="1">
        <v>1950</v>
      </c>
    </row>
    <row r="156" spans="1:3" x14ac:dyDescent="0.25">
      <c r="A156" s="1">
        <v>-10144</v>
      </c>
      <c r="B156" s="1">
        <v>6298</v>
      </c>
      <c r="C156" s="1">
        <v>1950</v>
      </c>
    </row>
    <row r="157" spans="1:3" x14ac:dyDescent="0.25">
      <c r="A157" s="1">
        <v>-8993</v>
      </c>
      <c r="B157" s="1">
        <v>-7855</v>
      </c>
      <c r="C157" s="1">
        <v>1950</v>
      </c>
    </row>
    <row r="158" spans="1:3" x14ac:dyDescent="0.25">
      <c r="A158" s="1">
        <v>10144</v>
      </c>
      <c r="B158" s="1">
        <v>-6298</v>
      </c>
      <c r="C158" s="1">
        <v>1950</v>
      </c>
    </row>
    <row r="159" spans="1:3" x14ac:dyDescent="0.25">
      <c r="A159" s="1">
        <v>8993</v>
      </c>
      <c r="B159" s="1">
        <v>7855</v>
      </c>
      <c r="C159" s="1">
        <v>1950</v>
      </c>
    </row>
    <row r="160" spans="1:3" x14ac:dyDescent="0.25">
      <c r="A160" s="1">
        <v>-10024</v>
      </c>
      <c r="B160" s="1">
        <v>6308</v>
      </c>
      <c r="C160" s="1">
        <v>1950</v>
      </c>
    </row>
    <row r="161" spans="1:3" x14ac:dyDescent="0.25">
      <c r="A161" s="1">
        <v>-9838</v>
      </c>
      <c r="B161" s="1">
        <v>5559</v>
      </c>
      <c r="C161" s="1">
        <v>1950</v>
      </c>
    </row>
    <row r="162" spans="1:3" x14ac:dyDescent="0.25">
      <c r="A162" s="1">
        <v>-8948</v>
      </c>
      <c r="B162" s="1">
        <v>5173</v>
      </c>
      <c r="C162" s="1">
        <v>1950</v>
      </c>
    </row>
    <row r="163" spans="1:3" x14ac:dyDescent="0.25">
      <c r="A163" s="1">
        <v>-7993</v>
      </c>
      <c r="B163" s="1">
        <v>-6552</v>
      </c>
      <c r="C163" s="1">
        <v>1950</v>
      </c>
    </row>
    <row r="164" spans="1:3" x14ac:dyDescent="0.25">
      <c r="A164" s="1">
        <v>-7966</v>
      </c>
      <c r="B164" s="1">
        <v>-6646</v>
      </c>
      <c r="C164" s="1">
        <v>1950</v>
      </c>
    </row>
    <row r="165" spans="1:3" x14ac:dyDescent="0.25">
      <c r="A165" s="1">
        <v>-7864</v>
      </c>
      <c r="B165" s="1">
        <v>-6659</v>
      </c>
      <c r="C165" s="1">
        <v>1950</v>
      </c>
    </row>
    <row r="166" spans="1:3" x14ac:dyDescent="0.25">
      <c r="A166" s="1">
        <v>8840</v>
      </c>
      <c r="B166" s="1">
        <v>-5300</v>
      </c>
      <c r="C166" s="1">
        <v>1950</v>
      </c>
    </row>
    <row r="167" spans="1:3" x14ac:dyDescent="0.25">
      <c r="A167" s="1">
        <v>8936</v>
      </c>
      <c r="B167" s="1">
        <v>-5272</v>
      </c>
      <c r="C167" s="1">
        <v>1950</v>
      </c>
    </row>
    <row r="168" spans="1:3" x14ac:dyDescent="0.25">
      <c r="A168" s="1">
        <v>8948</v>
      </c>
      <c r="B168" s="1">
        <v>-5173</v>
      </c>
      <c r="C168" s="1">
        <v>1950</v>
      </c>
    </row>
    <row r="169" spans="1:3" x14ac:dyDescent="0.25">
      <c r="A169" s="1">
        <v>7995</v>
      </c>
      <c r="B169" s="1">
        <v>6552</v>
      </c>
      <c r="C169" s="1">
        <v>1950</v>
      </c>
    </row>
    <row r="170" spans="1:3" x14ac:dyDescent="0.25">
      <c r="A170" s="1">
        <v>7967</v>
      </c>
      <c r="B170" s="1">
        <v>6647</v>
      </c>
      <c r="C170" s="1">
        <v>1950</v>
      </c>
    </row>
    <row r="171" spans="1:3" x14ac:dyDescent="0.25">
      <c r="A171" s="1">
        <v>7868</v>
      </c>
      <c r="B171" s="1">
        <v>6659</v>
      </c>
      <c r="C171" s="1">
        <v>1950</v>
      </c>
    </row>
    <row r="172" spans="1:3" x14ac:dyDescent="0.25">
      <c r="A172" s="1">
        <v>-8840</v>
      </c>
      <c r="B172" s="1">
        <v>5300</v>
      </c>
      <c r="C172" s="1">
        <v>1950</v>
      </c>
    </row>
    <row r="173" spans="1:3" x14ac:dyDescent="0.25">
      <c r="A173" s="1">
        <v>-8916</v>
      </c>
      <c r="B173" s="1">
        <v>5278</v>
      </c>
      <c r="C173" s="1">
        <v>1950</v>
      </c>
    </row>
    <row r="174" spans="1:3" x14ac:dyDescent="0.25">
      <c r="A174" s="1">
        <v>-8916</v>
      </c>
      <c r="B174" s="1">
        <v>5278</v>
      </c>
      <c r="C174" s="1">
        <v>2750</v>
      </c>
    </row>
    <row r="175" spans="1:3" x14ac:dyDescent="0.25">
      <c r="A175" s="1">
        <v>-8668</v>
      </c>
      <c r="B175" s="1">
        <v>4518</v>
      </c>
      <c r="C175" s="1">
        <v>2750</v>
      </c>
    </row>
    <row r="176" spans="1:3" x14ac:dyDescent="0.25">
      <c r="A176" s="1">
        <v>-7313</v>
      </c>
      <c r="B176" s="1">
        <v>-6495</v>
      </c>
      <c r="C176" s="1">
        <v>2750</v>
      </c>
    </row>
    <row r="177" spans="1:3" x14ac:dyDescent="0.25">
      <c r="A177" s="1">
        <v>8668</v>
      </c>
      <c r="B177" s="1">
        <v>-4518</v>
      </c>
      <c r="C177" s="1">
        <v>2750</v>
      </c>
    </row>
    <row r="178" spans="1:3" x14ac:dyDescent="0.25">
      <c r="A178" s="1">
        <v>7306</v>
      </c>
      <c r="B178" s="1">
        <v>6494</v>
      </c>
      <c r="C178" s="1">
        <v>2750</v>
      </c>
    </row>
    <row r="179" spans="1:3" x14ac:dyDescent="0.25">
      <c r="A179" s="1">
        <v>-8549</v>
      </c>
      <c r="B179" s="1">
        <v>4533</v>
      </c>
      <c r="C179" s="1">
        <v>2750</v>
      </c>
    </row>
    <row r="180" spans="1:3" x14ac:dyDescent="0.25">
      <c r="A180" s="1">
        <v>-7945</v>
      </c>
      <c r="B180" s="1">
        <v>3954</v>
      </c>
      <c r="C180" s="1">
        <v>2750</v>
      </c>
    </row>
    <row r="181" spans="1:3" x14ac:dyDescent="0.25">
      <c r="A181" s="1">
        <v>-6745</v>
      </c>
      <c r="B181" s="1">
        <v>-5771</v>
      </c>
      <c r="C181" s="1">
        <v>2750</v>
      </c>
    </row>
    <row r="182" spans="1:3" x14ac:dyDescent="0.25">
      <c r="A182" s="1">
        <v>7945</v>
      </c>
      <c r="B182" s="1">
        <v>-3954</v>
      </c>
      <c r="C182" s="1">
        <v>2750</v>
      </c>
    </row>
    <row r="183" spans="1:3" x14ac:dyDescent="0.25">
      <c r="A183" s="1">
        <v>6742</v>
      </c>
      <c r="B183" s="1">
        <v>5771</v>
      </c>
      <c r="C183" s="1">
        <v>2750</v>
      </c>
    </row>
    <row r="184" spans="1:3" x14ac:dyDescent="0.25">
      <c r="A184" s="1">
        <v>-7826</v>
      </c>
      <c r="B184" s="1">
        <v>3969</v>
      </c>
      <c r="C184" s="1">
        <v>2750</v>
      </c>
    </row>
    <row r="185" spans="1:3" x14ac:dyDescent="0.25">
      <c r="A185" s="1">
        <v>-8743</v>
      </c>
      <c r="B185" s="1">
        <v>4012</v>
      </c>
      <c r="C185" s="1">
        <v>2750</v>
      </c>
    </row>
    <row r="186" spans="1:3" x14ac:dyDescent="0.25">
      <c r="A186" s="1">
        <v>-9675</v>
      </c>
      <c r="B186" s="1">
        <v>5304</v>
      </c>
      <c r="C186" s="1">
        <v>2750</v>
      </c>
    </row>
    <row r="187" spans="1:3" x14ac:dyDescent="0.25">
      <c r="A187" s="1">
        <v>-8092</v>
      </c>
      <c r="B187" s="1">
        <v>-7499</v>
      </c>
      <c r="C187" s="1">
        <v>2750</v>
      </c>
    </row>
    <row r="188" spans="1:3" x14ac:dyDescent="0.25">
      <c r="A188" s="1">
        <v>9675</v>
      </c>
      <c r="B188" s="1">
        <v>-5304</v>
      </c>
      <c r="C188" s="1">
        <v>2750</v>
      </c>
    </row>
    <row r="189" spans="1:3" x14ac:dyDescent="0.25">
      <c r="A189" s="1">
        <v>8092</v>
      </c>
      <c r="B189" s="1">
        <v>7501</v>
      </c>
      <c r="C189" s="1">
        <v>2750</v>
      </c>
    </row>
    <row r="190" spans="1:3" x14ac:dyDescent="0.25">
      <c r="A190" s="1">
        <v>-9556</v>
      </c>
      <c r="B190" s="1">
        <v>5319</v>
      </c>
      <c r="C190" s="1">
        <v>2750</v>
      </c>
    </row>
    <row r="191" spans="1:3" x14ac:dyDescent="0.25">
      <c r="A191" s="1">
        <v>-10398</v>
      </c>
      <c r="B191" s="1">
        <v>5868</v>
      </c>
      <c r="C191" s="1">
        <v>2750</v>
      </c>
    </row>
    <row r="192" spans="1:3" x14ac:dyDescent="0.25">
      <c r="A192" s="1">
        <v>-8656</v>
      </c>
      <c r="B192" s="1">
        <v>-8222</v>
      </c>
      <c r="C192" s="1">
        <v>2750</v>
      </c>
    </row>
    <row r="193" spans="1:3" x14ac:dyDescent="0.25">
      <c r="A193" s="1">
        <v>10398</v>
      </c>
      <c r="B193" s="1">
        <v>-5868</v>
      </c>
      <c r="C193" s="1">
        <v>2750</v>
      </c>
    </row>
    <row r="194" spans="1:3" x14ac:dyDescent="0.25">
      <c r="A194" s="1">
        <v>8656</v>
      </c>
      <c r="B194" s="1">
        <v>8224</v>
      </c>
      <c r="C194" s="1">
        <v>2750</v>
      </c>
    </row>
    <row r="195" spans="1:3" x14ac:dyDescent="0.25">
      <c r="A195" s="1">
        <v>-10279</v>
      </c>
      <c r="B195" s="1">
        <v>5883</v>
      </c>
      <c r="C195" s="1">
        <v>2750</v>
      </c>
    </row>
    <row r="196" spans="1:3" x14ac:dyDescent="0.25">
      <c r="A196" s="1">
        <v>-10062</v>
      </c>
      <c r="B196" s="1">
        <v>5142</v>
      </c>
      <c r="C196" s="1">
        <v>2750</v>
      </c>
    </row>
    <row r="197" spans="1:3" x14ac:dyDescent="0.25">
      <c r="A197" s="1">
        <v>-9157</v>
      </c>
      <c r="B197" s="1">
        <v>4794</v>
      </c>
      <c r="C197" s="1">
        <v>2750</v>
      </c>
    </row>
    <row r="198" spans="1:3" x14ac:dyDescent="0.25">
      <c r="A198" s="1">
        <v>-7718</v>
      </c>
      <c r="B198" s="1">
        <v>-6881</v>
      </c>
      <c r="C198" s="1">
        <v>2750</v>
      </c>
    </row>
    <row r="199" spans="1:3" x14ac:dyDescent="0.25">
      <c r="A199" s="1">
        <v>-7685</v>
      </c>
      <c r="B199" s="1">
        <v>-6976</v>
      </c>
      <c r="C199" s="1">
        <v>2750</v>
      </c>
    </row>
    <row r="200" spans="1:3" x14ac:dyDescent="0.25">
      <c r="A200" s="1">
        <v>-7592</v>
      </c>
      <c r="B200" s="1">
        <v>-6983</v>
      </c>
      <c r="C200" s="1">
        <v>2750</v>
      </c>
    </row>
    <row r="201" spans="1:3" x14ac:dyDescent="0.25">
      <c r="A201" s="1">
        <v>9055</v>
      </c>
      <c r="B201" s="1">
        <v>-4925</v>
      </c>
      <c r="C201" s="1">
        <v>2750</v>
      </c>
    </row>
    <row r="202" spans="1:3" x14ac:dyDescent="0.25">
      <c r="A202" s="1">
        <v>9149</v>
      </c>
      <c r="B202" s="1">
        <v>-4893</v>
      </c>
      <c r="C202" s="1">
        <v>2750</v>
      </c>
    </row>
    <row r="203" spans="1:3" x14ac:dyDescent="0.25">
      <c r="A203" s="1">
        <v>9157</v>
      </c>
      <c r="B203" s="1">
        <v>-4794</v>
      </c>
      <c r="C203" s="1">
        <v>2750</v>
      </c>
    </row>
    <row r="204" spans="1:3" x14ac:dyDescent="0.25">
      <c r="A204" s="1">
        <v>7713</v>
      </c>
      <c r="B204" s="1">
        <v>6881</v>
      </c>
      <c r="C204" s="1">
        <v>2750</v>
      </c>
    </row>
    <row r="205" spans="1:3" x14ac:dyDescent="0.25">
      <c r="A205" s="1">
        <v>7681</v>
      </c>
      <c r="B205" s="1">
        <v>6975</v>
      </c>
      <c r="C205" s="1">
        <v>2750</v>
      </c>
    </row>
    <row r="206" spans="1:3" x14ac:dyDescent="0.25">
      <c r="A206" s="1">
        <v>7582</v>
      </c>
      <c r="B206" s="1">
        <v>6983</v>
      </c>
      <c r="C206" s="1">
        <v>2750</v>
      </c>
    </row>
    <row r="207" spans="1:3" x14ac:dyDescent="0.25">
      <c r="A207" s="1">
        <v>-9055</v>
      </c>
      <c r="B207" s="1">
        <v>4926</v>
      </c>
      <c r="C207" s="1">
        <v>2750</v>
      </c>
    </row>
    <row r="208" spans="1:3" x14ac:dyDescent="0.25">
      <c r="A208" s="1">
        <v>-9130</v>
      </c>
      <c r="B208" s="1">
        <v>4900</v>
      </c>
      <c r="C208" s="1">
        <v>2750</v>
      </c>
    </row>
    <row r="209" spans="1:3" x14ac:dyDescent="0.25">
      <c r="A209" s="1">
        <v>-9130</v>
      </c>
      <c r="B209" s="1">
        <v>4900</v>
      </c>
      <c r="C209" s="1">
        <v>3550</v>
      </c>
    </row>
    <row r="210" spans="1:3" x14ac:dyDescent="0.25">
      <c r="A210" s="1">
        <v>-8850</v>
      </c>
      <c r="B210" s="1">
        <v>4152</v>
      </c>
      <c r="C210" s="1">
        <v>3550</v>
      </c>
    </row>
    <row r="211" spans="1:3" x14ac:dyDescent="0.25">
      <c r="A211" s="1">
        <v>-7029</v>
      </c>
      <c r="B211" s="1">
        <v>-6794</v>
      </c>
      <c r="C211" s="1">
        <v>3550</v>
      </c>
    </row>
    <row r="212" spans="1:3" x14ac:dyDescent="0.25">
      <c r="A212" s="1">
        <v>8850</v>
      </c>
      <c r="B212" s="1">
        <v>-4152</v>
      </c>
      <c r="C212" s="1">
        <v>3550</v>
      </c>
    </row>
    <row r="213" spans="1:3" x14ac:dyDescent="0.25">
      <c r="A213" s="1">
        <v>7029</v>
      </c>
      <c r="B213" s="1">
        <v>6794</v>
      </c>
      <c r="C213" s="1">
        <v>3550</v>
      </c>
    </row>
    <row r="214" spans="1:3" x14ac:dyDescent="0.25">
      <c r="A214" s="1">
        <v>-8731</v>
      </c>
      <c r="B214" s="1">
        <v>4171</v>
      </c>
      <c r="C214" s="1">
        <v>3550</v>
      </c>
    </row>
    <row r="215" spans="1:3" x14ac:dyDescent="0.25">
      <c r="A215" s="1">
        <v>-8104</v>
      </c>
      <c r="B215" s="1">
        <v>3619</v>
      </c>
      <c r="C215" s="1">
        <v>3550</v>
      </c>
    </row>
    <row r="216" spans="1:3" x14ac:dyDescent="0.25">
      <c r="A216" s="1">
        <v>-6496</v>
      </c>
      <c r="B216" s="1">
        <v>-6048</v>
      </c>
      <c r="C216" s="1">
        <v>3550</v>
      </c>
    </row>
    <row r="217" spans="1:3" x14ac:dyDescent="0.25">
      <c r="A217" s="1">
        <v>8104</v>
      </c>
      <c r="B217" s="1">
        <v>-3619</v>
      </c>
      <c r="C217" s="1">
        <v>3550</v>
      </c>
    </row>
    <row r="218" spans="1:3" x14ac:dyDescent="0.25">
      <c r="A218" s="1">
        <v>6496</v>
      </c>
      <c r="B218" s="1">
        <v>6048</v>
      </c>
      <c r="C218" s="1">
        <v>3550</v>
      </c>
    </row>
    <row r="219" spans="1:3" x14ac:dyDescent="0.25">
      <c r="A219" s="1">
        <v>-7985</v>
      </c>
      <c r="B219" s="1">
        <v>3638</v>
      </c>
      <c r="C219" s="1">
        <v>3550</v>
      </c>
    </row>
    <row r="220" spans="1:3" x14ac:dyDescent="0.25">
      <c r="A220" s="1">
        <v>-8903</v>
      </c>
      <c r="B220" s="1">
        <v>3643</v>
      </c>
      <c r="C220" s="1">
        <v>3550</v>
      </c>
    </row>
    <row r="221" spans="1:3" x14ac:dyDescent="0.25">
      <c r="A221" s="1">
        <v>-9889</v>
      </c>
      <c r="B221" s="1">
        <v>4894</v>
      </c>
      <c r="C221" s="1">
        <v>3550</v>
      </c>
    </row>
    <row r="222" spans="1:3" x14ac:dyDescent="0.25">
      <c r="A222" s="1">
        <v>-7771</v>
      </c>
      <c r="B222" s="1">
        <v>-7833</v>
      </c>
      <c r="C222" s="1">
        <v>3550</v>
      </c>
    </row>
    <row r="223" spans="1:3" x14ac:dyDescent="0.25">
      <c r="A223" s="1">
        <v>9889</v>
      </c>
      <c r="B223" s="1">
        <v>-4894</v>
      </c>
      <c r="C223" s="1">
        <v>3550</v>
      </c>
    </row>
    <row r="224" spans="1:3" x14ac:dyDescent="0.25">
      <c r="A224" s="1">
        <v>7771</v>
      </c>
      <c r="B224" s="1">
        <v>7834</v>
      </c>
      <c r="C224" s="1">
        <v>3550</v>
      </c>
    </row>
    <row r="225" spans="1:3" x14ac:dyDescent="0.25">
      <c r="A225" s="1">
        <v>-9771</v>
      </c>
      <c r="B225" s="1">
        <v>4914</v>
      </c>
      <c r="C225" s="1">
        <v>3550</v>
      </c>
    </row>
    <row r="226" spans="1:3" x14ac:dyDescent="0.25">
      <c r="A226" s="1">
        <v>-10635</v>
      </c>
      <c r="B226" s="1">
        <v>5427</v>
      </c>
      <c r="C226" s="1">
        <v>3550</v>
      </c>
    </row>
    <row r="227" spans="1:3" x14ac:dyDescent="0.25">
      <c r="A227" s="1">
        <v>-8305</v>
      </c>
      <c r="B227" s="1">
        <v>-8579</v>
      </c>
      <c r="C227" s="1">
        <v>3550</v>
      </c>
    </row>
    <row r="228" spans="1:3" x14ac:dyDescent="0.25">
      <c r="A228" s="1">
        <v>10635</v>
      </c>
      <c r="B228" s="1">
        <v>-5427</v>
      </c>
      <c r="C228" s="1">
        <v>3550</v>
      </c>
    </row>
    <row r="229" spans="1:3" x14ac:dyDescent="0.25">
      <c r="A229" s="1">
        <v>8304</v>
      </c>
      <c r="B229" s="1">
        <v>8580</v>
      </c>
      <c r="C229" s="1">
        <v>3550</v>
      </c>
    </row>
    <row r="230" spans="1:3" x14ac:dyDescent="0.25">
      <c r="A230" s="1">
        <v>-10517</v>
      </c>
      <c r="B230" s="1">
        <v>5447</v>
      </c>
      <c r="C230" s="1">
        <v>3550</v>
      </c>
    </row>
    <row r="231" spans="1:3" x14ac:dyDescent="0.25">
      <c r="A231" s="1">
        <v>-10269</v>
      </c>
      <c r="B231" s="1">
        <v>4716</v>
      </c>
      <c r="C231" s="1">
        <v>3550</v>
      </c>
    </row>
    <row r="232" spans="1:3" x14ac:dyDescent="0.25">
      <c r="A232" s="1">
        <v>-9350</v>
      </c>
      <c r="B232" s="1">
        <v>4407</v>
      </c>
      <c r="C232" s="1">
        <v>3550</v>
      </c>
    </row>
    <row r="233" spans="1:3" x14ac:dyDescent="0.25">
      <c r="A233" s="1">
        <v>-7420</v>
      </c>
      <c r="B233" s="1">
        <v>-7198</v>
      </c>
      <c r="C233" s="1">
        <v>3550</v>
      </c>
    </row>
    <row r="234" spans="1:3" x14ac:dyDescent="0.25">
      <c r="A234" s="1">
        <v>-7384</v>
      </c>
      <c r="B234" s="1">
        <v>-7291</v>
      </c>
      <c r="C234" s="1">
        <v>3550</v>
      </c>
    </row>
    <row r="235" spans="1:3" x14ac:dyDescent="0.25">
      <c r="A235" s="1">
        <v>-7285</v>
      </c>
      <c r="B235" s="1">
        <v>-7294</v>
      </c>
      <c r="C235" s="1">
        <v>3550</v>
      </c>
    </row>
    <row r="236" spans="1:3" x14ac:dyDescent="0.25">
      <c r="A236" s="1">
        <v>9253</v>
      </c>
      <c r="B236" s="1">
        <v>-4542</v>
      </c>
      <c r="C236" s="1">
        <v>3550</v>
      </c>
    </row>
    <row r="237" spans="1:3" x14ac:dyDescent="0.25">
      <c r="A237" s="1">
        <v>9346</v>
      </c>
      <c r="B237" s="1">
        <v>-4506</v>
      </c>
      <c r="C237" s="1">
        <v>3550</v>
      </c>
    </row>
    <row r="238" spans="1:3" x14ac:dyDescent="0.25">
      <c r="A238" s="1">
        <v>9350</v>
      </c>
      <c r="B238" s="1">
        <v>-4407</v>
      </c>
      <c r="C238" s="1">
        <v>3550</v>
      </c>
    </row>
    <row r="239" spans="1:3" x14ac:dyDescent="0.25">
      <c r="A239" s="1">
        <v>7419</v>
      </c>
      <c r="B239" s="1">
        <v>7198</v>
      </c>
      <c r="C239" s="1">
        <v>3550</v>
      </c>
    </row>
    <row r="240" spans="1:3" x14ac:dyDescent="0.25">
      <c r="A240" s="1">
        <v>7383</v>
      </c>
      <c r="B240" s="1">
        <v>7291</v>
      </c>
      <c r="C240" s="1">
        <v>3550</v>
      </c>
    </row>
    <row r="241" spans="1:3" x14ac:dyDescent="0.25">
      <c r="A241" s="1">
        <v>7284</v>
      </c>
      <c r="B241" s="1">
        <v>7295</v>
      </c>
      <c r="C241" s="1">
        <v>3550</v>
      </c>
    </row>
    <row r="242" spans="1:3" x14ac:dyDescent="0.25">
      <c r="A242" s="1">
        <v>-9253</v>
      </c>
      <c r="B242" s="1">
        <v>4542</v>
      </c>
      <c r="C242" s="1">
        <v>3550</v>
      </c>
    </row>
    <row r="243" spans="1:3" x14ac:dyDescent="0.25">
      <c r="A243" s="1">
        <v>-9327</v>
      </c>
      <c r="B243" s="1">
        <v>4514</v>
      </c>
      <c r="C243" s="1">
        <v>3550</v>
      </c>
    </row>
    <row r="244" spans="1:3" x14ac:dyDescent="0.25">
      <c r="A244" s="1">
        <v>-9327</v>
      </c>
      <c r="B244" s="1">
        <v>4514</v>
      </c>
      <c r="C244" s="1">
        <v>4350</v>
      </c>
    </row>
    <row r="245" spans="1:3" x14ac:dyDescent="0.25">
      <c r="A245" s="1">
        <v>-9015</v>
      </c>
      <c r="B245" s="1">
        <v>3777</v>
      </c>
      <c r="C245" s="1">
        <v>4350</v>
      </c>
    </row>
    <row r="246" spans="1:3" x14ac:dyDescent="0.25">
      <c r="A246" s="1">
        <v>-6729</v>
      </c>
      <c r="B246" s="1">
        <v>-7081</v>
      </c>
      <c r="C246" s="1">
        <v>4350</v>
      </c>
    </row>
    <row r="247" spans="1:3" x14ac:dyDescent="0.25">
      <c r="A247" s="1">
        <v>9015</v>
      </c>
      <c r="B247" s="1">
        <v>-3777</v>
      </c>
      <c r="C247" s="1">
        <v>4350</v>
      </c>
    </row>
    <row r="248" spans="1:3" x14ac:dyDescent="0.25">
      <c r="A248" s="1">
        <v>6737</v>
      </c>
      <c r="B248" s="1">
        <v>7082</v>
      </c>
      <c r="C248" s="1">
        <v>4350</v>
      </c>
    </row>
    <row r="249" spans="1:3" x14ac:dyDescent="0.25">
      <c r="A249" s="1">
        <v>-8897</v>
      </c>
      <c r="B249" s="1">
        <v>3802</v>
      </c>
      <c r="C249" s="1">
        <v>4350</v>
      </c>
    </row>
    <row r="250" spans="1:3" x14ac:dyDescent="0.25">
      <c r="A250" s="1">
        <v>-8247</v>
      </c>
      <c r="B250" s="1">
        <v>3276</v>
      </c>
      <c r="C250" s="1">
        <v>4350</v>
      </c>
    </row>
    <row r="251" spans="1:3" x14ac:dyDescent="0.25">
      <c r="A251" s="1">
        <v>-6232</v>
      </c>
      <c r="B251" s="1">
        <v>-6314</v>
      </c>
      <c r="C251" s="1">
        <v>4350</v>
      </c>
    </row>
    <row r="252" spans="1:3" x14ac:dyDescent="0.25">
      <c r="A252" s="1">
        <v>8248</v>
      </c>
      <c r="B252" s="1">
        <v>-3276</v>
      </c>
      <c r="C252" s="1">
        <v>4350</v>
      </c>
    </row>
    <row r="253" spans="1:3" x14ac:dyDescent="0.25">
      <c r="A253" s="1">
        <v>6235</v>
      </c>
      <c r="B253" s="1">
        <v>6314</v>
      </c>
      <c r="C253" s="1">
        <v>4350</v>
      </c>
    </row>
    <row r="254" spans="1:3" x14ac:dyDescent="0.25">
      <c r="A254" s="1">
        <v>-8130</v>
      </c>
      <c r="B254" s="1">
        <v>3300</v>
      </c>
      <c r="C254" s="1">
        <v>4350</v>
      </c>
    </row>
    <row r="255" spans="1:3" x14ac:dyDescent="0.25">
      <c r="A255" s="1">
        <v>-9047</v>
      </c>
      <c r="B255" s="1">
        <v>3266</v>
      </c>
      <c r="C255" s="1">
        <v>4350</v>
      </c>
    </row>
    <row r="256" spans="1:3" x14ac:dyDescent="0.25">
      <c r="A256" s="1">
        <v>-10085</v>
      </c>
      <c r="B256" s="1">
        <v>4476</v>
      </c>
      <c r="C256" s="1">
        <v>4350</v>
      </c>
    </row>
    <row r="257" spans="1:3" x14ac:dyDescent="0.25">
      <c r="A257" s="1">
        <v>-7436</v>
      </c>
      <c r="B257" s="1">
        <v>-8153</v>
      </c>
      <c r="C257" s="1">
        <v>4350</v>
      </c>
    </row>
    <row r="258" spans="1:3" x14ac:dyDescent="0.25">
      <c r="A258" s="1">
        <v>10085</v>
      </c>
      <c r="B258" s="1">
        <v>-4476</v>
      </c>
      <c r="C258" s="1">
        <v>4350</v>
      </c>
    </row>
    <row r="259" spans="1:3" x14ac:dyDescent="0.25">
      <c r="A259" s="1">
        <v>7436</v>
      </c>
      <c r="B259" s="1">
        <v>8152</v>
      </c>
      <c r="C259" s="1">
        <v>4350</v>
      </c>
    </row>
    <row r="260" spans="1:3" x14ac:dyDescent="0.25">
      <c r="A260" s="1">
        <v>-9968</v>
      </c>
      <c r="B260" s="1">
        <v>4500</v>
      </c>
      <c r="C260" s="1">
        <v>4350</v>
      </c>
    </row>
    <row r="261" spans="1:3" x14ac:dyDescent="0.25">
      <c r="A261" s="1">
        <v>-10853</v>
      </c>
      <c r="B261" s="1">
        <v>4977</v>
      </c>
      <c r="C261" s="1">
        <v>4350</v>
      </c>
    </row>
    <row r="262" spans="1:3" x14ac:dyDescent="0.25">
      <c r="A262" s="1">
        <v>-7937</v>
      </c>
      <c r="B262" s="1">
        <v>-8921</v>
      </c>
      <c r="C262" s="1">
        <v>4350</v>
      </c>
    </row>
    <row r="263" spans="1:3" x14ac:dyDescent="0.25">
      <c r="A263" s="1">
        <v>10853</v>
      </c>
      <c r="B263" s="1">
        <v>-4977</v>
      </c>
      <c r="C263" s="1">
        <v>4350</v>
      </c>
    </row>
    <row r="264" spans="1:3" x14ac:dyDescent="0.25">
      <c r="A264" s="1">
        <v>7937</v>
      </c>
      <c r="B264" s="1">
        <v>8920</v>
      </c>
      <c r="C264" s="1">
        <v>4350</v>
      </c>
    </row>
    <row r="265" spans="1:3" x14ac:dyDescent="0.25">
      <c r="A265" s="1">
        <v>-10736</v>
      </c>
      <c r="B265" s="1">
        <v>5002</v>
      </c>
      <c r="C265" s="1">
        <v>4350</v>
      </c>
    </row>
    <row r="266" spans="1:3" x14ac:dyDescent="0.25">
      <c r="A266" s="1">
        <v>-10457</v>
      </c>
      <c r="B266" s="1">
        <v>4282</v>
      </c>
      <c r="C266" s="1">
        <v>4350</v>
      </c>
    </row>
    <row r="267" spans="1:3" x14ac:dyDescent="0.25">
      <c r="A267" s="1">
        <v>-9526</v>
      </c>
      <c r="B267" s="1">
        <v>4011</v>
      </c>
      <c r="C267" s="1">
        <v>4350</v>
      </c>
    </row>
    <row r="268" spans="1:3" x14ac:dyDescent="0.25">
      <c r="A268" s="1">
        <v>-7469</v>
      </c>
      <c r="B268" s="1">
        <v>-5801</v>
      </c>
      <c r="C268" s="1">
        <v>4350</v>
      </c>
    </row>
    <row r="269" spans="1:3" x14ac:dyDescent="0.25">
      <c r="A269" s="1">
        <v>-7105</v>
      </c>
      <c r="B269" s="1">
        <v>-7502</v>
      </c>
      <c r="C269" s="1">
        <v>4350</v>
      </c>
    </row>
    <row r="270" spans="1:3" x14ac:dyDescent="0.25">
      <c r="A270" s="1">
        <v>-7068</v>
      </c>
      <c r="B270" s="1">
        <v>-7590</v>
      </c>
      <c r="C270" s="1">
        <v>4350</v>
      </c>
    </row>
    <row r="271" spans="1:3" x14ac:dyDescent="0.25">
      <c r="A271" s="1">
        <v>-6961</v>
      </c>
      <c r="B271" s="1">
        <v>-7591</v>
      </c>
      <c r="C271" s="1">
        <v>4350</v>
      </c>
    </row>
    <row r="272" spans="1:3" x14ac:dyDescent="0.25">
      <c r="A272" s="1">
        <v>9435</v>
      </c>
      <c r="B272" s="1">
        <v>-4151</v>
      </c>
      <c r="C272" s="1">
        <v>4350</v>
      </c>
    </row>
    <row r="273" spans="1:3" x14ac:dyDescent="0.25">
      <c r="A273" s="1">
        <v>9526</v>
      </c>
      <c r="B273" s="1">
        <v>-4111</v>
      </c>
      <c r="C273" s="1">
        <v>4350</v>
      </c>
    </row>
    <row r="274" spans="1:3" x14ac:dyDescent="0.25">
      <c r="A274" s="1">
        <v>9526</v>
      </c>
      <c r="B274" s="1">
        <v>-4011</v>
      </c>
      <c r="C274" s="1">
        <v>4350</v>
      </c>
    </row>
    <row r="275" spans="1:3" x14ac:dyDescent="0.25">
      <c r="A275" s="1">
        <v>7110</v>
      </c>
      <c r="B275" s="1">
        <v>7502</v>
      </c>
      <c r="C275" s="1">
        <v>4350</v>
      </c>
    </row>
    <row r="276" spans="1:3" x14ac:dyDescent="0.25">
      <c r="A276" s="1">
        <v>7071</v>
      </c>
      <c r="B276" s="1">
        <v>7593</v>
      </c>
      <c r="C276" s="1">
        <v>4350</v>
      </c>
    </row>
    <row r="277" spans="1:3" x14ac:dyDescent="0.25">
      <c r="A277" s="1">
        <v>6971</v>
      </c>
      <c r="B277" s="1">
        <v>7593</v>
      </c>
      <c r="C277" s="1">
        <v>4350</v>
      </c>
    </row>
    <row r="278" spans="1:3" x14ac:dyDescent="0.25">
      <c r="A278" s="1">
        <v>-9435</v>
      </c>
      <c r="B278" s="1">
        <v>4151</v>
      </c>
      <c r="C278" s="1">
        <v>4350</v>
      </c>
    </row>
    <row r="279" spans="1:3" x14ac:dyDescent="0.25">
      <c r="A279" s="1">
        <v>-9507</v>
      </c>
      <c r="B279" s="1">
        <v>4119</v>
      </c>
      <c r="C279" s="1">
        <v>4350</v>
      </c>
    </row>
    <row r="280" spans="1:3" x14ac:dyDescent="0.25">
      <c r="A280" s="1">
        <v>-9507</v>
      </c>
      <c r="B280" s="1">
        <v>4119</v>
      </c>
      <c r="C280" s="1">
        <v>5150</v>
      </c>
    </row>
    <row r="281" spans="1:3" x14ac:dyDescent="0.25">
      <c r="A281" s="1">
        <v>-9165</v>
      </c>
      <c r="B281" s="1">
        <v>3396</v>
      </c>
      <c r="C281" s="1">
        <v>5150</v>
      </c>
    </row>
    <row r="282" spans="1:3" x14ac:dyDescent="0.25">
      <c r="A282" s="1">
        <v>-6436</v>
      </c>
      <c r="B282" s="1">
        <v>-7358</v>
      </c>
      <c r="C282" s="1">
        <v>5150</v>
      </c>
    </row>
    <row r="283" spans="1:3" x14ac:dyDescent="0.25">
      <c r="A283" s="1">
        <v>9165</v>
      </c>
      <c r="B283" s="1">
        <v>-3396</v>
      </c>
      <c r="C283" s="1">
        <v>5150</v>
      </c>
    </row>
    <row r="284" spans="1:3" x14ac:dyDescent="0.25">
      <c r="A284" s="1">
        <v>6434</v>
      </c>
      <c r="B284" s="1">
        <v>7358</v>
      </c>
      <c r="C284" s="1">
        <v>5150</v>
      </c>
    </row>
    <row r="285" spans="1:3" x14ac:dyDescent="0.25">
      <c r="A285" s="1">
        <v>-9049</v>
      </c>
      <c r="B285" s="1">
        <v>3426</v>
      </c>
      <c r="C285" s="1">
        <v>5150</v>
      </c>
    </row>
    <row r="286" spans="1:3" x14ac:dyDescent="0.25">
      <c r="A286" s="1">
        <v>-8377</v>
      </c>
      <c r="B286" s="1">
        <v>2927</v>
      </c>
      <c r="C286" s="1">
        <v>5150</v>
      </c>
    </row>
    <row r="287" spans="1:3" x14ac:dyDescent="0.25">
      <c r="A287" s="1">
        <v>-5966</v>
      </c>
      <c r="B287" s="1">
        <v>-6570</v>
      </c>
      <c r="C287" s="1">
        <v>5150</v>
      </c>
    </row>
    <row r="288" spans="1:3" x14ac:dyDescent="0.25">
      <c r="A288" s="1">
        <v>8377</v>
      </c>
      <c r="B288" s="1">
        <v>-2927</v>
      </c>
      <c r="C288" s="1">
        <v>5150</v>
      </c>
    </row>
    <row r="289" spans="1:3" x14ac:dyDescent="0.25">
      <c r="A289" s="1">
        <v>5965</v>
      </c>
      <c r="B289" s="1">
        <v>6570</v>
      </c>
      <c r="C289" s="1">
        <v>5150</v>
      </c>
    </row>
    <row r="290" spans="1:3" x14ac:dyDescent="0.25">
      <c r="A290" s="1">
        <v>-8261</v>
      </c>
      <c r="B290" s="1">
        <v>2957</v>
      </c>
      <c r="C290" s="1">
        <v>5150</v>
      </c>
    </row>
    <row r="291" spans="1:3" x14ac:dyDescent="0.25">
      <c r="A291" s="1">
        <v>-9176</v>
      </c>
      <c r="B291" s="1">
        <v>2884</v>
      </c>
      <c r="C291" s="1">
        <v>5150</v>
      </c>
    </row>
    <row r="292" spans="1:3" x14ac:dyDescent="0.25">
      <c r="A292" s="1">
        <v>-10264</v>
      </c>
      <c r="B292" s="1">
        <v>4050</v>
      </c>
      <c r="C292" s="1">
        <v>5150</v>
      </c>
    </row>
    <row r="293" spans="1:3" x14ac:dyDescent="0.25">
      <c r="A293" s="1">
        <v>-7088</v>
      </c>
      <c r="B293" s="1">
        <v>-8455</v>
      </c>
      <c r="C293" s="1">
        <v>5150</v>
      </c>
    </row>
    <row r="294" spans="1:3" x14ac:dyDescent="0.25">
      <c r="A294" s="1">
        <v>10264</v>
      </c>
      <c r="B294" s="1">
        <v>-4050</v>
      </c>
      <c r="C294" s="1">
        <v>5150</v>
      </c>
    </row>
    <row r="295" spans="1:3" x14ac:dyDescent="0.25">
      <c r="A295" s="1">
        <v>7088</v>
      </c>
      <c r="B295" s="1">
        <v>8456</v>
      </c>
      <c r="C295" s="1">
        <v>5150</v>
      </c>
    </row>
    <row r="296" spans="1:3" x14ac:dyDescent="0.25">
      <c r="A296" s="1">
        <v>-10148</v>
      </c>
      <c r="B296" s="1">
        <v>4079</v>
      </c>
      <c r="C296" s="1">
        <v>5150</v>
      </c>
    </row>
    <row r="297" spans="1:3" x14ac:dyDescent="0.25">
      <c r="A297" s="1">
        <v>-11052</v>
      </c>
      <c r="B297" s="1">
        <v>4518</v>
      </c>
      <c r="C297" s="1">
        <v>5150</v>
      </c>
    </row>
    <row r="298" spans="1:3" x14ac:dyDescent="0.25">
      <c r="A298" s="1">
        <v>-7557</v>
      </c>
      <c r="B298" s="1">
        <v>-9243</v>
      </c>
      <c r="C298" s="1">
        <v>5150</v>
      </c>
    </row>
    <row r="299" spans="1:3" x14ac:dyDescent="0.25">
      <c r="A299" s="1">
        <v>11052</v>
      </c>
      <c r="B299" s="1">
        <v>-4518</v>
      </c>
      <c r="C299" s="1">
        <v>5150</v>
      </c>
    </row>
    <row r="300" spans="1:3" x14ac:dyDescent="0.25">
      <c r="A300" s="1">
        <v>7557</v>
      </c>
      <c r="B300" s="1">
        <v>9244</v>
      </c>
      <c r="C300" s="1">
        <v>5150</v>
      </c>
    </row>
    <row r="301" spans="1:3" x14ac:dyDescent="0.25">
      <c r="A301" s="1">
        <v>-10936</v>
      </c>
      <c r="B301" s="1">
        <v>4548</v>
      </c>
      <c r="C301" s="1">
        <v>5150</v>
      </c>
    </row>
    <row r="302" spans="1:3" x14ac:dyDescent="0.25">
      <c r="A302" s="1">
        <v>-10627</v>
      </c>
      <c r="B302" s="1">
        <v>3841</v>
      </c>
      <c r="C302" s="1">
        <v>5150</v>
      </c>
    </row>
    <row r="303" spans="1:3" x14ac:dyDescent="0.25">
      <c r="A303" s="1">
        <v>-9686</v>
      </c>
      <c r="B303" s="1">
        <v>3609</v>
      </c>
      <c r="C303" s="1">
        <v>5150</v>
      </c>
    </row>
    <row r="304" spans="1:3" x14ac:dyDescent="0.25">
      <c r="A304" s="1">
        <v>-6791</v>
      </c>
      <c r="B304" s="1">
        <v>-7793</v>
      </c>
      <c r="C304" s="1">
        <v>5150</v>
      </c>
    </row>
    <row r="305" spans="1:3" x14ac:dyDescent="0.25">
      <c r="A305" s="1">
        <v>-6748</v>
      </c>
      <c r="B305" s="1">
        <v>-7883</v>
      </c>
      <c r="C305" s="1">
        <v>5150</v>
      </c>
    </row>
    <row r="306" spans="1:3" x14ac:dyDescent="0.25">
      <c r="A306" s="1">
        <v>-6649</v>
      </c>
      <c r="B306" s="1">
        <v>-7878</v>
      </c>
      <c r="C306" s="1">
        <v>5150</v>
      </c>
    </row>
    <row r="307" spans="1:3" x14ac:dyDescent="0.25">
      <c r="A307" s="1">
        <v>9601</v>
      </c>
      <c r="B307" s="1">
        <v>-3752</v>
      </c>
      <c r="C307" s="1">
        <v>5150</v>
      </c>
    </row>
    <row r="308" spans="1:3" x14ac:dyDescent="0.25">
      <c r="A308" s="1">
        <v>9690</v>
      </c>
      <c r="B308" s="1">
        <v>-3708</v>
      </c>
      <c r="C308" s="1">
        <v>5150</v>
      </c>
    </row>
    <row r="309" spans="1:3" x14ac:dyDescent="0.25">
      <c r="A309" s="1">
        <v>9686</v>
      </c>
      <c r="B309" s="1">
        <v>-3609</v>
      </c>
      <c r="C309" s="1">
        <v>5150</v>
      </c>
    </row>
    <row r="310" spans="1:3" x14ac:dyDescent="0.25">
      <c r="A310" s="1">
        <v>6790</v>
      </c>
      <c r="B310" s="1">
        <v>7793</v>
      </c>
      <c r="C310" s="1">
        <v>5150</v>
      </c>
    </row>
    <row r="311" spans="1:3" x14ac:dyDescent="0.25">
      <c r="A311" s="1">
        <v>6747</v>
      </c>
      <c r="B311" s="1">
        <v>7883</v>
      </c>
      <c r="C311" s="1">
        <v>5150</v>
      </c>
    </row>
    <row r="312" spans="1:3" x14ac:dyDescent="0.25">
      <c r="A312" s="1">
        <v>6647</v>
      </c>
      <c r="B312" s="1">
        <v>7878</v>
      </c>
      <c r="C312" s="1">
        <v>5150</v>
      </c>
    </row>
    <row r="313" spans="1:3" x14ac:dyDescent="0.25">
      <c r="A313" s="1">
        <v>-9601</v>
      </c>
      <c r="B313" s="1">
        <v>3752</v>
      </c>
      <c r="C313" s="1">
        <v>5150</v>
      </c>
    </row>
    <row r="314" spans="1:3" x14ac:dyDescent="0.25">
      <c r="A314" s="1">
        <v>-9672</v>
      </c>
      <c r="B314" s="1">
        <v>3717</v>
      </c>
      <c r="C314" s="1">
        <v>5150</v>
      </c>
    </row>
    <row r="315" spans="1:3" x14ac:dyDescent="0.25">
      <c r="A315" s="1">
        <v>9594</v>
      </c>
      <c r="B315">
        <v>0.32800000000000001</v>
      </c>
      <c r="C315">
        <v>0.65</v>
      </c>
    </row>
    <row r="316" spans="1:3" x14ac:dyDescent="0.25">
      <c r="A316" s="1">
        <v>9549</v>
      </c>
      <c r="B316">
        <v>0.98199999999999998</v>
      </c>
      <c r="C316">
        <v>0.65</v>
      </c>
    </row>
    <row r="317" spans="1:3" x14ac:dyDescent="0.25">
      <c r="A317" s="1">
        <v>9460</v>
      </c>
      <c r="B317" s="1">
        <v>1631</v>
      </c>
      <c r="C317">
        <v>0.65</v>
      </c>
    </row>
    <row r="318" spans="1:3" x14ac:dyDescent="0.25">
      <c r="A318" s="1">
        <v>9327</v>
      </c>
      <c r="B318" s="1">
        <v>2273</v>
      </c>
      <c r="C318">
        <v>0.65</v>
      </c>
    </row>
    <row r="319" spans="1:3" x14ac:dyDescent="0.25">
      <c r="A319" s="1">
        <v>9149</v>
      </c>
      <c r="B319" s="1">
        <v>2907</v>
      </c>
      <c r="C319">
        <v>0.65</v>
      </c>
    </row>
    <row r="320" spans="1:3" x14ac:dyDescent="0.25">
      <c r="A320" s="1">
        <v>9035</v>
      </c>
      <c r="B320" s="1">
        <v>3243</v>
      </c>
      <c r="C320">
        <v>0.65</v>
      </c>
    </row>
    <row r="321" spans="1:3" x14ac:dyDescent="0.25">
      <c r="A321" s="1">
        <v>8805</v>
      </c>
      <c r="B321" s="1">
        <v>3824</v>
      </c>
      <c r="C321">
        <v>0.65</v>
      </c>
    </row>
    <row r="322" spans="1:3" x14ac:dyDescent="0.25">
      <c r="A322" s="1">
        <v>8525</v>
      </c>
      <c r="B322" s="1">
        <v>4413</v>
      </c>
      <c r="C322">
        <v>0.65</v>
      </c>
    </row>
    <row r="323" spans="1:3" x14ac:dyDescent="0.25">
      <c r="A323" s="1">
        <v>8027</v>
      </c>
      <c r="B323" s="1">
        <v>5265</v>
      </c>
      <c r="C323">
        <v>0.65</v>
      </c>
    </row>
    <row r="324" spans="1:3" x14ac:dyDescent="0.25">
      <c r="A324" s="1">
        <v>7446</v>
      </c>
      <c r="B324" s="1">
        <v>6058</v>
      </c>
      <c r="C324">
        <v>0.65</v>
      </c>
    </row>
    <row r="325" spans="1:3" x14ac:dyDescent="0.25">
      <c r="A325" s="1">
        <v>6788</v>
      </c>
      <c r="B325" s="1">
        <v>6788</v>
      </c>
      <c r="C325">
        <v>0.65</v>
      </c>
    </row>
    <row r="326" spans="1:3" x14ac:dyDescent="0.25">
      <c r="A326" s="1">
        <v>6058</v>
      </c>
      <c r="B326" s="1">
        <v>7446</v>
      </c>
      <c r="C326">
        <v>0.65</v>
      </c>
    </row>
    <row r="327" spans="1:3" x14ac:dyDescent="0.25">
      <c r="A327" s="1">
        <v>5265</v>
      </c>
      <c r="B327" s="1">
        <v>8027</v>
      </c>
      <c r="C327">
        <v>0.65</v>
      </c>
    </row>
    <row r="328" spans="1:3" x14ac:dyDescent="0.25">
      <c r="A328" s="1">
        <v>4416</v>
      </c>
      <c r="B328" s="1">
        <v>8523</v>
      </c>
      <c r="C328">
        <v>0.65</v>
      </c>
    </row>
    <row r="329" spans="1:3" x14ac:dyDescent="0.25">
      <c r="A329" s="1">
        <v>3522</v>
      </c>
      <c r="B329" s="1">
        <v>8930</v>
      </c>
      <c r="C329">
        <v>0.65</v>
      </c>
    </row>
    <row r="330" spans="1:3" x14ac:dyDescent="0.25">
      <c r="A330" s="1">
        <v>2590</v>
      </c>
      <c r="B330" s="1">
        <v>9244</v>
      </c>
      <c r="C330">
        <v>0.65</v>
      </c>
    </row>
    <row r="331" spans="1:3" x14ac:dyDescent="0.25">
      <c r="A331" s="1">
        <v>1628</v>
      </c>
      <c r="B331" s="1">
        <v>9461</v>
      </c>
      <c r="C331">
        <v>0.65</v>
      </c>
    </row>
    <row r="332" spans="1:3" x14ac:dyDescent="0.25">
      <c r="A332">
        <v>0.98199999999999998</v>
      </c>
      <c r="B332" s="1">
        <v>9549</v>
      </c>
      <c r="C332">
        <v>0.65</v>
      </c>
    </row>
    <row r="333" spans="1:3" x14ac:dyDescent="0.25">
      <c r="A333">
        <v>0.32800000000000001</v>
      </c>
      <c r="B333" s="1">
        <v>9594</v>
      </c>
      <c r="C333">
        <v>0.65</v>
      </c>
    </row>
    <row r="334" spans="1:3" x14ac:dyDescent="0.25">
      <c r="A334" s="1">
        <v>-9480</v>
      </c>
      <c r="B334" s="1">
        <v>9600</v>
      </c>
      <c r="C334">
        <v>0.65</v>
      </c>
    </row>
    <row r="335" spans="1:3" x14ac:dyDescent="0.25">
      <c r="A335" s="1">
        <v>-9201</v>
      </c>
      <c r="B335" s="1">
        <v>8906</v>
      </c>
      <c r="C335">
        <v>0.65</v>
      </c>
    </row>
    <row r="336" spans="1:3" x14ac:dyDescent="0.25">
      <c r="A336" s="1">
        <v>-5489</v>
      </c>
      <c r="B336" s="1">
        <v>6495</v>
      </c>
      <c r="C336">
        <v>0.65</v>
      </c>
    </row>
    <row r="337" spans="1:3" x14ac:dyDescent="0.25">
      <c r="A337" s="1">
        <v>-6497</v>
      </c>
      <c r="B337" s="1">
        <v>5487</v>
      </c>
      <c r="C337">
        <v>0.65</v>
      </c>
    </row>
    <row r="338" spans="1:3" x14ac:dyDescent="0.25">
      <c r="A338" s="1">
        <v>-6497</v>
      </c>
      <c r="B338" s="1">
        <v>3628</v>
      </c>
      <c r="C338">
        <v>0.65</v>
      </c>
    </row>
    <row r="339" spans="1:3" x14ac:dyDescent="0.25">
      <c r="A339" s="1">
        <v>-3631</v>
      </c>
      <c r="B339" s="1">
        <v>6494</v>
      </c>
      <c r="C339">
        <v>0.65</v>
      </c>
    </row>
    <row r="340" spans="1:3" x14ac:dyDescent="0.25">
      <c r="A340" s="1">
        <v>-1773</v>
      </c>
      <c r="B340" s="1">
        <v>6493</v>
      </c>
      <c r="C340">
        <v>0.65</v>
      </c>
    </row>
    <row r="341" spans="1:3" x14ac:dyDescent="0.25">
      <c r="A341" s="1">
        <v>-6497</v>
      </c>
      <c r="B341" s="1">
        <v>1768</v>
      </c>
      <c r="C341">
        <v>0.65</v>
      </c>
    </row>
    <row r="342" spans="1:3" x14ac:dyDescent="0.25">
      <c r="A342" s="1">
        <v>-6497</v>
      </c>
      <c r="B342">
        <f>0.091</f>
        <v>9.0999999999999998E-2</v>
      </c>
      <c r="C342">
        <v>0.65</v>
      </c>
    </row>
    <row r="343" spans="1:3" x14ac:dyDescent="0.25">
      <c r="A343">
        <v>8.5000000000000006E-2</v>
      </c>
      <c r="B343" s="1">
        <v>6492</v>
      </c>
      <c r="C343">
        <v>0.65</v>
      </c>
    </row>
    <row r="344" spans="1:3" x14ac:dyDescent="0.25">
      <c r="A344">
        <v>0.70699999999999996</v>
      </c>
      <c r="B344" s="1">
        <v>6491</v>
      </c>
      <c r="C344">
        <v>0.65</v>
      </c>
    </row>
    <row r="345" spans="1:3" x14ac:dyDescent="0.25">
      <c r="A345" s="1">
        <v>1117</v>
      </c>
      <c r="B345" s="1">
        <v>6463</v>
      </c>
      <c r="C345">
        <v>0.65</v>
      </c>
    </row>
    <row r="346" spans="1:3" x14ac:dyDescent="0.25">
      <c r="A346" s="1">
        <v>1488</v>
      </c>
      <c r="B346" s="1">
        <v>6412</v>
      </c>
      <c r="C346">
        <v>0.65</v>
      </c>
    </row>
    <row r="347" spans="1:3" x14ac:dyDescent="0.25">
      <c r="A347" s="1">
        <v>1796</v>
      </c>
      <c r="B347" s="1">
        <v>6343</v>
      </c>
      <c r="C347">
        <v>0.65</v>
      </c>
    </row>
    <row r="348" spans="1:3" x14ac:dyDescent="0.25">
      <c r="A348" s="1">
        <v>-6497</v>
      </c>
      <c r="B348" s="1">
        <v>-1950</v>
      </c>
      <c r="C348">
        <v>0.65</v>
      </c>
    </row>
    <row r="349" spans="1:3" x14ac:dyDescent="0.25">
      <c r="A349" s="1">
        <v>-6497</v>
      </c>
      <c r="B349" s="1">
        <v>-3809</v>
      </c>
      <c r="C349">
        <v>0.65</v>
      </c>
    </row>
    <row r="350" spans="1:3" x14ac:dyDescent="0.25">
      <c r="A350" s="1">
        <v>3172</v>
      </c>
      <c r="B350" s="1">
        <v>5860</v>
      </c>
      <c r="C350">
        <v>0.65</v>
      </c>
    </row>
    <row r="351" spans="1:3" x14ac:dyDescent="0.25">
      <c r="A351" s="1">
        <v>3788</v>
      </c>
      <c r="B351" s="1">
        <v>5511</v>
      </c>
      <c r="C351">
        <v>0.65</v>
      </c>
    </row>
    <row r="352" spans="1:3" x14ac:dyDescent="0.25">
      <c r="A352" s="1">
        <v>4302</v>
      </c>
      <c r="B352" s="1">
        <v>5131</v>
      </c>
      <c r="C352">
        <v>0.65</v>
      </c>
    </row>
    <row r="353" spans="1:3" x14ac:dyDescent="0.25">
      <c r="A353" s="1">
        <v>-6497</v>
      </c>
      <c r="B353" s="1">
        <v>-5668</v>
      </c>
      <c r="C353">
        <v>0.65</v>
      </c>
    </row>
    <row r="354" spans="1:3" x14ac:dyDescent="0.25">
      <c r="A354" s="1">
        <v>-6497</v>
      </c>
      <c r="B354" s="1">
        <v>-6497</v>
      </c>
      <c r="C354">
        <v>0.65</v>
      </c>
    </row>
    <row r="355" spans="1:3" x14ac:dyDescent="0.25">
      <c r="A355" s="1">
        <v>-5466</v>
      </c>
      <c r="B355" s="1">
        <v>-6497</v>
      </c>
      <c r="C355">
        <v>0.65</v>
      </c>
    </row>
    <row r="356" spans="1:3" x14ac:dyDescent="0.25">
      <c r="A356" s="1">
        <v>5218</v>
      </c>
      <c r="B356" s="1">
        <v>4188</v>
      </c>
      <c r="C356">
        <v>0.65</v>
      </c>
    </row>
    <row r="357" spans="1:3" x14ac:dyDescent="0.25">
      <c r="A357" s="1">
        <v>5511</v>
      </c>
      <c r="B357" s="1">
        <v>3788</v>
      </c>
      <c r="C357">
        <v>0.65</v>
      </c>
    </row>
    <row r="358" spans="1:3" x14ac:dyDescent="0.25">
      <c r="A358" s="1">
        <v>5838</v>
      </c>
      <c r="B358" s="1">
        <v>3229</v>
      </c>
      <c r="C358">
        <v>0.65</v>
      </c>
    </row>
    <row r="359" spans="1:3" x14ac:dyDescent="0.25">
      <c r="A359" s="1">
        <v>5928</v>
      </c>
      <c r="B359" s="1">
        <v>3039</v>
      </c>
      <c r="C359">
        <v>0.65</v>
      </c>
    </row>
    <row r="360" spans="1:3" x14ac:dyDescent="0.25">
      <c r="A360" s="1">
        <v>-3607</v>
      </c>
      <c r="B360" s="1">
        <v>-6497</v>
      </c>
      <c r="C360">
        <v>0.65</v>
      </c>
    </row>
    <row r="361" spans="1:3" x14ac:dyDescent="0.25">
      <c r="A361" s="1">
        <v>-1748</v>
      </c>
      <c r="B361" s="1">
        <v>-6497</v>
      </c>
      <c r="C361">
        <v>0.65</v>
      </c>
    </row>
    <row r="362" spans="1:3" x14ac:dyDescent="0.25">
      <c r="A362" s="1">
        <v>6384</v>
      </c>
      <c r="B362" s="1">
        <v>1635</v>
      </c>
      <c r="C362">
        <v>0.65</v>
      </c>
    </row>
    <row r="363" spans="1:3" x14ac:dyDescent="0.25">
      <c r="A363" s="1">
        <v>6463</v>
      </c>
      <c r="B363" s="1">
        <v>1117</v>
      </c>
      <c r="C363">
        <v>0.65</v>
      </c>
    </row>
    <row r="364" spans="1:3" x14ac:dyDescent="0.25">
      <c r="A364" s="1">
        <v>6491</v>
      </c>
      <c r="B364">
        <v>0.70799999999999996</v>
      </c>
      <c r="C364">
        <v>0.65</v>
      </c>
    </row>
    <row r="365" spans="1:3" x14ac:dyDescent="0.25">
      <c r="A365" s="1">
        <v>6491</v>
      </c>
      <c r="B365">
        <v>0.29899999999999999</v>
      </c>
      <c r="C365">
        <v>0.65</v>
      </c>
    </row>
    <row r="366" spans="1:3" x14ac:dyDescent="0.25">
      <c r="A366" s="1">
        <v>6458</v>
      </c>
      <c r="B366">
        <f>0.15</f>
        <v>0.15</v>
      </c>
      <c r="C366">
        <v>0.65</v>
      </c>
    </row>
    <row r="367" spans="1:3" x14ac:dyDescent="0.25">
      <c r="A367">
        <v>0.153</v>
      </c>
      <c r="B367" s="1">
        <v>-6455</v>
      </c>
      <c r="C367">
        <v>0.65</v>
      </c>
    </row>
    <row r="368" spans="1:3" x14ac:dyDescent="0.25">
      <c r="A368">
        <v>0.71499999999999997</v>
      </c>
      <c r="B368" s="1">
        <v>-6369</v>
      </c>
      <c r="C368">
        <v>0.65</v>
      </c>
    </row>
    <row r="369" spans="1:3" x14ac:dyDescent="0.25">
      <c r="A369" s="1">
        <v>1112</v>
      </c>
      <c r="B369" s="1">
        <v>-6273</v>
      </c>
      <c r="C369">
        <v>0.65</v>
      </c>
    </row>
    <row r="370" spans="1:3" x14ac:dyDescent="0.25">
      <c r="A370" s="1">
        <v>1502</v>
      </c>
      <c r="B370" s="1">
        <v>-6149</v>
      </c>
      <c r="C370">
        <v>0.65</v>
      </c>
    </row>
    <row r="371" spans="1:3" x14ac:dyDescent="0.25">
      <c r="A371" s="1">
        <v>1851</v>
      </c>
      <c r="B371" s="1">
        <v>-6011</v>
      </c>
      <c r="C371">
        <v>0.65</v>
      </c>
    </row>
    <row r="372" spans="1:3" x14ac:dyDescent="0.25">
      <c r="A372" s="1">
        <v>2431</v>
      </c>
      <c r="B372" s="1">
        <v>-5723</v>
      </c>
      <c r="C372">
        <v>0.65</v>
      </c>
    </row>
    <row r="373" spans="1:3" x14ac:dyDescent="0.25">
      <c r="A373" s="1">
        <v>2978</v>
      </c>
      <c r="B373" s="1">
        <v>-5378</v>
      </c>
      <c r="C373">
        <v>0.65</v>
      </c>
    </row>
    <row r="374" spans="1:3" x14ac:dyDescent="0.25">
      <c r="A374" s="1">
        <v>3277</v>
      </c>
      <c r="B374" s="1">
        <v>-5151</v>
      </c>
      <c r="C374">
        <v>0.65</v>
      </c>
    </row>
    <row r="375" spans="1:3" x14ac:dyDescent="0.25">
      <c r="A375" s="1">
        <v>3584</v>
      </c>
      <c r="B375" s="1">
        <v>-4883</v>
      </c>
      <c r="C375">
        <v>0.65</v>
      </c>
    </row>
    <row r="376" spans="1:3" x14ac:dyDescent="0.25">
      <c r="A376" s="1">
        <v>4883</v>
      </c>
      <c r="B376" s="1">
        <v>-3584</v>
      </c>
      <c r="C376">
        <v>0.65</v>
      </c>
    </row>
    <row r="377" spans="1:3" x14ac:dyDescent="0.25">
      <c r="A377" s="1">
        <v>4883</v>
      </c>
      <c r="B377" s="1">
        <v>-3584</v>
      </c>
      <c r="C377">
        <v>0.95</v>
      </c>
    </row>
    <row r="378" spans="1:3" x14ac:dyDescent="0.25">
      <c r="A378" s="1">
        <v>-7289</v>
      </c>
      <c r="B378" s="1">
        <v>7287</v>
      </c>
      <c r="C378">
        <v>0.95</v>
      </c>
    </row>
    <row r="379" spans="1:3" x14ac:dyDescent="0.25">
      <c r="A379" s="1">
        <v>-7289</v>
      </c>
      <c r="B379" s="1">
        <v>-7289</v>
      </c>
      <c r="C379">
        <v>0.95</v>
      </c>
    </row>
    <row r="380" spans="1:3" x14ac:dyDescent="0.25">
      <c r="A380">
        <v>6.0000000000000001E-3</v>
      </c>
      <c r="B380" s="1">
        <v>-7288</v>
      </c>
      <c r="C380">
        <v>0.95</v>
      </c>
    </row>
    <row r="381" spans="1:3" x14ac:dyDescent="0.25">
      <c r="A381">
        <v>0.495</v>
      </c>
      <c r="B381" s="1">
        <v>-7270</v>
      </c>
      <c r="C381">
        <v>0.95</v>
      </c>
    </row>
    <row r="382" spans="1:3" x14ac:dyDescent="0.25">
      <c r="A382">
        <v>0.99199999999999999</v>
      </c>
      <c r="B382" s="1">
        <v>-7219</v>
      </c>
      <c r="C382">
        <v>0.95</v>
      </c>
    </row>
    <row r="383" spans="1:3" x14ac:dyDescent="0.25">
      <c r="A383" s="1">
        <v>1483</v>
      </c>
      <c r="B383" s="1">
        <v>-7135</v>
      </c>
      <c r="C383">
        <v>0.95</v>
      </c>
    </row>
    <row r="384" spans="1:3" x14ac:dyDescent="0.25">
      <c r="A384" s="1">
        <v>1966</v>
      </c>
      <c r="B384" s="1">
        <v>-7017</v>
      </c>
      <c r="C384">
        <v>0.95</v>
      </c>
    </row>
    <row r="385" spans="1:3" x14ac:dyDescent="0.25">
      <c r="A385" s="1">
        <v>2440</v>
      </c>
      <c r="B385" s="1">
        <v>-6866</v>
      </c>
      <c r="C385">
        <v>0.95</v>
      </c>
    </row>
    <row r="386" spans="1:3" x14ac:dyDescent="0.25">
      <c r="A386" s="1">
        <v>2882</v>
      </c>
      <c r="B386" s="1">
        <v>-6692</v>
      </c>
      <c r="C386">
        <v>0.95</v>
      </c>
    </row>
    <row r="387" spans="1:3" x14ac:dyDescent="0.25">
      <c r="A387" s="1">
        <v>3571</v>
      </c>
      <c r="B387" s="1">
        <v>-6350</v>
      </c>
      <c r="C387">
        <v>0.95</v>
      </c>
    </row>
    <row r="388" spans="1:3" x14ac:dyDescent="0.25">
      <c r="A388" s="1">
        <v>4221</v>
      </c>
      <c r="B388" s="1">
        <v>-5939</v>
      </c>
      <c r="C388">
        <v>0.95</v>
      </c>
    </row>
    <row r="389" spans="1:3" x14ac:dyDescent="0.25">
      <c r="A389" s="1">
        <v>4599</v>
      </c>
      <c r="B389" s="1">
        <v>-5653</v>
      </c>
      <c r="C389">
        <v>0.95</v>
      </c>
    </row>
    <row r="390" spans="1:3" x14ac:dyDescent="0.25">
      <c r="A390" s="1">
        <v>4974</v>
      </c>
      <c r="B390" s="1">
        <v>-5326</v>
      </c>
      <c r="C390">
        <v>0.95</v>
      </c>
    </row>
    <row r="391" spans="1:3" x14ac:dyDescent="0.25">
      <c r="A391" s="1">
        <v>5326</v>
      </c>
      <c r="B391" s="1">
        <v>-4974</v>
      </c>
      <c r="C391">
        <v>0.95</v>
      </c>
    </row>
    <row r="392" spans="1:3" x14ac:dyDescent="0.25">
      <c r="A392" s="1">
        <v>5653</v>
      </c>
      <c r="B392" s="1">
        <v>-4599</v>
      </c>
      <c r="C392">
        <v>0.95</v>
      </c>
    </row>
    <row r="393" spans="1:3" x14ac:dyDescent="0.25">
      <c r="A393" s="1">
        <v>5953</v>
      </c>
      <c r="B393" s="1">
        <v>-4202</v>
      </c>
      <c r="C393">
        <v>0.95</v>
      </c>
    </row>
    <row r="394" spans="1:3" x14ac:dyDescent="0.25">
      <c r="A394" s="1">
        <v>6226</v>
      </c>
      <c r="B394" s="1">
        <v>-3786</v>
      </c>
      <c r="C394">
        <v>0.95</v>
      </c>
    </row>
    <row r="395" spans="1:3" x14ac:dyDescent="0.25">
      <c r="A395" s="1">
        <v>6470</v>
      </c>
      <c r="B395" s="1">
        <v>-3353</v>
      </c>
      <c r="C395">
        <v>0.95</v>
      </c>
    </row>
    <row r="396" spans="1:3" x14ac:dyDescent="0.25">
      <c r="A396" s="1">
        <v>6674</v>
      </c>
      <c r="B396" s="1">
        <v>-2924</v>
      </c>
      <c r="C396">
        <v>0.95</v>
      </c>
    </row>
    <row r="397" spans="1:3" x14ac:dyDescent="0.25">
      <c r="A397" s="1">
        <v>6952</v>
      </c>
      <c r="B397" s="1">
        <v>-2182</v>
      </c>
      <c r="C397">
        <v>0.95</v>
      </c>
    </row>
    <row r="398" spans="1:3" x14ac:dyDescent="0.25">
      <c r="A398" s="1">
        <v>7080</v>
      </c>
      <c r="B398" s="1">
        <v>-1725</v>
      </c>
      <c r="C398">
        <v>0.95</v>
      </c>
    </row>
    <row r="399" spans="1:3" x14ac:dyDescent="0.25">
      <c r="A399" s="1">
        <v>7181</v>
      </c>
      <c r="B399" s="1">
        <v>-1238</v>
      </c>
      <c r="C399">
        <v>0.95</v>
      </c>
    </row>
    <row r="400" spans="1:3" x14ac:dyDescent="0.25">
      <c r="A400" s="1">
        <v>7249</v>
      </c>
      <c r="B400">
        <f>0.745</f>
        <v>0.745</v>
      </c>
      <c r="C400">
        <v>0.95</v>
      </c>
    </row>
    <row r="401" spans="1:3" x14ac:dyDescent="0.25">
      <c r="A401" s="1">
        <v>7283</v>
      </c>
      <c r="B401">
        <f>0.249</f>
        <v>0.249</v>
      </c>
      <c r="C401">
        <v>0.95</v>
      </c>
    </row>
    <row r="402" spans="1:3" x14ac:dyDescent="0.25">
      <c r="A402" s="1">
        <v>7283</v>
      </c>
      <c r="B402">
        <v>0.249</v>
      </c>
      <c r="C402">
        <v>0.95</v>
      </c>
    </row>
    <row r="403" spans="1:3" x14ac:dyDescent="0.25">
      <c r="A403" s="1">
        <v>7249</v>
      </c>
      <c r="B403">
        <v>0.745</v>
      </c>
      <c r="C403">
        <v>0.95</v>
      </c>
    </row>
    <row r="404" spans="1:3" x14ac:dyDescent="0.25">
      <c r="A404" s="1">
        <v>7181</v>
      </c>
      <c r="B404" s="1">
        <v>1238</v>
      </c>
      <c r="C404">
        <v>0.95</v>
      </c>
    </row>
    <row r="405" spans="1:3" x14ac:dyDescent="0.25">
      <c r="A405" s="1">
        <v>7085</v>
      </c>
      <c r="B405" s="1">
        <v>1703</v>
      </c>
      <c r="C405">
        <v>0.95</v>
      </c>
    </row>
    <row r="406" spans="1:3" x14ac:dyDescent="0.25">
      <c r="A406" s="1">
        <v>6858</v>
      </c>
      <c r="B406" s="1">
        <v>2462</v>
      </c>
      <c r="C406">
        <v>0.95</v>
      </c>
    </row>
    <row r="407" spans="1:3" x14ac:dyDescent="0.25">
      <c r="A407" s="1">
        <v>6684</v>
      </c>
      <c r="B407" s="1">
        <v>2903</v>
      </c>
      <c r="C407">
        <v>0.95</v>
      </c>
    </row>
    <row r="408" spans="1:3" x14ac:dyDescent="0.25">
      <c r="A408" s="1">
        <v>6480</v>
      </c>
      <c r="B408" s="1">
        <v>3332</v>
      </c>
      <c r="C408">
        <v>0.95</v>
      </c>
    </row>
    <row r="409" spans="1:3" x14ac:dyDescent="0.25">
      <c r="A409" s="1">
        <v>6092</v>
      </c>
      <c r="B409" s="1">
        <v>3996</v>
      </c>
      <c r="C409">
        <v>0.95</v>
      </c>
    </row>
    <row r="410" spans="1:3" x14ac:dyDescent="0.25">
      <c r="A410" s="1">
        <v>5651</v>
      </c>
      <c r="B410" s="1">
        <v>4598</v>
      </c>
      <c r="C410">
        <v>0.95</v>
      </c>
    </row>
    <row r="411" spans="1:3" x14ac:dyDescent="0.25">
      <c r="A411" s="1">
        <v>5151</v>
      </c>
      <c r="B411" s="1">
        <v>5151</v>
      </c>
      <c r="C411">
        <v>0.95</v>
      </c>
    </row>
    <row r="412" spans="1:3" x14ac:dyDescent="0.25">
      <c r="A412" s="1">
        <v>4598</v>
      </c>
      <c r="B412" s="1">
        <v>5651</v>
      </c>
      <c r="C412">
        <v>0.95</v>
      </c>
    </row>
    <row r="413" spans="1:3" x14ac:dyDescent="0.25">
      <c r="A413" s="1">
        <v>3996</v>
      </c>
      <c r="B413" s="1">
        <v>6092</v>
      </c>
      <c r="C413">
        <v>0.95</v>
      </c>
    </row>
    <row r="414" spans="1:3" x14ac:dyDescent="0.25">
      <c r="A414" s="1">
        <v>3352</v>
      </c>
      <c r="B414" s="1">
        <v>6468</v>
      </c>
      <c r="C414">
        <v>0.95</v>
      </c>
    </row>
    <row r="415" spans="1:3" x14ac:dyDescent="0.25">
      <c r="A415" s="1">
        <v>2673</v>
      </c>
      <c r="B415" s="1">
        <v>6777</v>
      </c>
      <c r="C415">
        <v>0.95</v>
      </c>
    </row>
    <row r="416" spans="1:3" x14ac:dyDescent="0.25">
      <c r="A416" s="1">
        <v>1966</v>
      </c>
      <c r="B416" s="1">
        <v>7015</v>
      </c>
      <c r="C416">
        <v>0.95</v>
      </c>
    </row>
    <row r="417" spans="1:3" x14ac:dyDescent="0.25">
      <c r="A417" s="1">
        <v>1215</v>
      </c>
      <c r="B417" s="1">
        <v>7184</v>
      </c>
      <c r="C417">
        <v>0.95</v>
      </c>
    </row>
    <row r="418" spans="1:3" x14ac:dyDescent="0.25">
      <c r="A418">
        <v>0.745</v>
      </c>
      <c r="B418" s="1">
        <v>7249</v>
      </c>
      <c r="C418">
        <v>0.95</v>
      </c>
    </row>
    <row r="419" spans="1:3" x14ac:dyDescent="0.25">
      <c r="A419">
        <v>0.248</v>
      </c>
      <c r="B419" s="1">
        <v>7283</v>
      </c>
      <c r="C419">
        <v>0.95</v>
      </c>
    </row>
    <row r="420" spans="1:3" x14ac:dyDescent="0.25">
      <c r="A420" s="1">
        <v>-7169</v>
      </c>
      <c r="B420" s="1">
        <v>7287</v>
      </c>
      <c r="C420">
        <v>0.95</v>
      </c>
    </row>
    <row r="421" spans="1:3" x14ac:dyDescent="0.25">
      <c r="A421" s="1">
        <v>-8584</v>
      </c>
      <c r="B421" s="1">
        <v>8584</v>
      </c>
      <c r="C421">
        <v>0.95</v>
      </c>
    </row>
    <row r="422" spans="1:3" x14ac:dyDescent="0.25">
      <c r="A422" s="1">
        <v>-8584</v>
      </c>
      <c r="B422" s="1">
        <v>-8584</v>
      </c>
      <c r="C422">
        <v>0.95</v>
      </c>
    </row>
    <row r="423" spans="1:3" x14ac:dyDescent="0.25">
      <c r="A423">
        <v>2.9000000000000001E-2</v>
      </c>
      <c r="B423" s="1">
        <v>-8583</v>
      </c>
      <c r="C423">
        <v>0.95</v>
      </c>
    </row>
    <row r="424" spans="1:3" x14ac:dyDescent="0.25">
      <c r="A424">
        <v>0.58499999999999996</v>
      </c>
      <c r="B424" s="1">
        <v>-8564</v>
      </c>
      <c r="C424">
        <v>0.95</v>
      </c>
    </row>
    <row r="425" spans="1:3" x14ac:dyDescent="0.25">
      <c r="A425" s="1">
        <v>1169</v>
      </c>
      <c r="B425" s="1">
        <v>-8504</v>
      </c>
      <c r="C425">
        <v>0.95</v>
      </c>
    </row>
    <row r="426" spans="1:3" x14ac:dyDescent="0.25">
      <c r="A426" s="1">
        <v>1746</v>
      </c>
      <c r="B426" s="1">
        <v>-8404</v>
      </c>
      <c r="C426">
        <v>0.95</v>
      </c>
    </row>
    <row r="427" spans="1:3" x14ac:dyDescent="0.25">
      <c r="A427" s="1">
        <v>2316</v>
      </c>
      <c r="B427" s="1">
        <v>-8265</v>
      </c>
      <c r="C427">
        <v>0.95</v>
      </c>
    </row>
    <row r="428" spans="1:3" x14ac:dyDescent="0.25">
      <c r="A428" s="1">
        <v>2874</v>
      </c>
      <c r="B428" s="1">
        <v>-8088</v>
      </c>
      <c r="C428">
        <v>0.95</v>
      </c>
    </row>
    <row r="429" spans="1:3" x14ac:dyDescent="0.25">
      <c r="A429" s="1">
        <v>3408</v>
      </c>
      <c r="B429" s="1">
        <v>-7877</v>
      </c>
      <c r="C429">
        <v>0.95</v>
      </c>
    </row>
    <row r="430" spans="1:3" x14ac:dyDescent="0.25">
      <c r="A430" s="1">
        <v>4206</v>
      </c>
      <c r="B430" s="1">
        <v>-7481</v>
      </c>
      <c r="C430">
        <v>0.95</v>
      </c>
    </row>
    <row r="431" spans="1:3" x14ac:dyDescent="0.25">
      <c r="A431" s="1">
        <v>4960</v>
      </c>
      <c r="B431" s="1">
        <v>-7005</v>
      </c>
      <c r="C431">
        <v>0.95</v>
      </c>
    </row>
    <row r="432" spans="1:3" x14ac:dyDescent="0.25">
      <c r="A432" s="1">
        <v>5417</v>
      </c>
      <c r="B432" s="1">
        <v>-6658</v>
      </c>
      <c r="C432">
        <v>0.95</v>
      </c>
    </row>
    <row r="433" spans="1:3" x14ac:dyDescent="0.25">
      <c r="A433" s="1">
        <v>5859</v>
      </c>
      <c r="B433" s="1">
        <v>-6273</v>
      </c>
      <c r="C433">
        <v>0.95</v>
      </c>
    </row>
    <row r="434" spans="1:3" x14ac:dyDescent="0.25">
      <c r="A434" s="1">
        <v>6273</v>
      </c>
      <c r="B434" s="1">
        <v>-5859</v>
      </c>
      <c r="C434">
        <v>0.95</v>
      </c>
    </row>
    <row r="435" spans="1:3" x14ac:dyDescent="0.25">
      <c r="A435" s="1">
        <v>6658</v>
      </c>
      <c r="B435" s="1">
        <v>-5417</v>
      </c>
      <c r="C435">
        <v>0.95</v>
      </c>
    </row>
    <row r="436" spans="1:3" x14ac:dyDescent="0.25">
      <c r="A436" s="1">
        <v>7013</v>
      </c>
      <c r="B436" s="1">
        <v>-4950</v>
      </c>
      <c r="C436">
        <v>0.95</v>
      </c>
    </row>
    <row r="437" spans="1:3" x14ac:dyDescent="0.25">
      <c r="A437" s="1">
        <v>7334</v>
      </c>
      <c r="B437" s="1">
        <v>-4460</v>
      </c>
      <c r="C437">
        <v>0.95</v>
      </c>
    </row>
    <row r="438" spans="1:3" x14ac:dyDescent="0.25">
      <c r="A438" s="1">
        <v>7621</v>
      </c>
      <c r="B438" s="1">
        <v>-3949</v>
      </c>
      <c r="C438">
        <v>0.95</v>
      </c>
    </row>
    <row r="439" spans="1:3" x14ac:dyDescent="0.25">
      <c r="A439" s="1">
        <v>7868</v>
      </c>
      <c r="B439" s="1">
        <v>-3431</v>
      </c>
      <c r="C439">
        <v>0.95</v>
      </c>
    </row>
    <row r="440" spans="1:3" x14ac:dyDescent="0.25">
      <c r="A440" s="1">
        <v>8185</v>
      </c>
      <c r="B440" s="1">
        <v>-2585</v>
      </c>
      <c r="C440">
        <v>0.95</v>
      </c>
    </row>
    <row r="441" spans="1:3" x14ac:dyDescent="0.25">
      <c r="A441" s="1">
        <v>8339</v>
      </c>
      <c r="B441" s="1">
        <v>-2032</v>
      </c>
      <c r="C441">
        <v>0.95</v>
      </c>
    </row>
    <row r="442" spans="1:3" x14ac:dyDescent="0.25">
      <c r="A442" s="1">
        <v>8459</v>
      </c>
      <c r="B442" s="1">
        <v>-1458</v>
      </c>
      <c r="C442">
        <v>0.95</v>
      </c>
    </row>
    <row r="443" spans="1:3" x14ac:dyDescent="0.25">
      <c r="A443" s="1">
        <v>8539</v>
      </c>
      <c r="B443">
        <f>0.878</f>
        <v>0.878</v>
      </c>
      <c r="C443">
        <v>0.95</v>
      </c>
    </row>
    <row r="444" spans="1:3" x14ac:dyDescent="0.25">
      <c r="A444" s="1">
        <v>8579</v>
      </c>
      <c r="B444">
        <f>0.293</f>
        <v>0.29299999999999998</v>
      </c>
      <c r="C444">
        <v>0.95</v>
      </c>
    </row>
    <row r="445" spans="1:3" x14ac:dyDescent="0.25">
      <c r="A445" s="1">
        <v>8579</v>
      </c>
      <c r="B445">
        <v>0.29299999999999998</v>
      </c>
      <c r="C445">
        <v>0.95</v>
      </c>
    </row>
    <row r="446" spans="1:3" x14ac:dyDescent="0.25">
      <c r="A446" s="1">
        <v>8539</v>
      </c>
      <c r="B446">
        <v>0.878</v>
      </c>
      <c r="C446">
        <v>0.95</v>
      </c>
    </row>
    <row r="447" spans="1:3" x14ac:dyDescent="0.25">
      <c r="A447" s="1">
        <v>8459</v>
      </c>
      <c r="B447" s="1">
        <v>1458</v>
      </c>
      <c r="C447">
        <v>0.95</v>
      </c>
    </row>
    <row r="448" spans="1:3" x14ac:dyDescent="0.25">
      <c r="A448" s="1">
        <v>8342</v>
      </c>
      <c r="B448" s="1">
        <v>2020</v>
      </c>
      <c r="C448">
        <v>0.95</v>
      </c>
    </row>
    <row r="449" spans="1:3" x14ac:dyDescent="0.25">
      <c r="A449" s="1">
        <v>8084</v>
      </c>
      <c r="B449" s="1">
        <v>2886</v>
      </c>
      <c r="C449">
        <v>0.95</v>
      </c>
    </row>
    <row r="450" spans="1:3" x14ac:dyDescent="0.25">
      <c r="A450" s="1">
        <v>7873</v>
      </c>
      <c r="B450" s="1">
        <v>3420</v>
      </c>
      <c r="C450">
        <v>0.95</v>
      </c>
    </row>
    <row r="451" spans="1:3" x14ac:dyDescent="0.25">
      <c r="A451" s="1">
        <v>7626</v>
      </c>
      <c r="B451" s="1">
        <v>3938</v>
      </c>
      <c r="C451">
        <v>0.95</v>
      </c>
    </row>
    <row r="452" spans="1:3" x14ac:dyDescent="0.25">
      <c r="A452" s="1">
        <v>7177</v>
      </c>
      <c r="B452" s="1">
        <v>4707</v>
      </c>
      <c r="C452">
        <v>0.95</v>
      </c>
    </row>
    <row r="453" spans="1:3" x14ac:dyDescent="0.25">
      <c r="A453" s="1">
        <v>6658</v>
      </c>
      <c r="B453" s="1">
        <v>5416</v>
      </c>
      <c r="C453">
        <v>0.95</v>
      </c>
    </row>
    <row r="454" spans="1:3" x14ac:dyDescent="0.25">
      <c r="A454" s="1">
        <v>6069</v>
      </c>
      <c r="B454" s="1">
        <v>6069</v>
      </c>
      <c r="C454">
        <v>0.95</v>
      </c>
    </row>
    <row r="455" spans="1:3" x14ac:dyDescent="0.25">
      <c r="A455" s="1">
        <v>5416</v>
      </c>
      <c r="B455" s="1">
        <v>6658</v>
      </c>
      <c r="C455">
        <v>0.95</v>
      </c>
    </row>
    <row r="456" spans="1:3" x14ac:dyDescent="0.25">
      <c r="A456" s="1">
        <v>4707</v>
      </c>
      <c r="B456" s="1">
        <v>7177</v>
      </c>
      <c r="C456">
        <v>0.95</v>
      </c>
    </row>
    <row r="457" spans="1:3" x14ac:dyDescent="0.25">
      <c r="A457" s="1">
        <v>3949</v>
      </c>
      <c r="B457" s="1">
        <v>7620</v>
      </c>
      <c r="C457">
        <v>0.95</v>
      </c>
    </row>
    <row r="458" spans="1:3" x14ac:dyDescent="0.25">
      <c r="A458" s="1">
        <v>3149</v>
      </c>
      <c r="B458" s="1">
        <v>7984</v>
      </c>
      <c r="C458">
        <v>0.95</v>
      </c>
    </row>
    <row r="459" spans="1:3" x14ac:dyDescent="0.25">
      <c r="A459" s="1">
        <v>2316</v>
      </c>
      <c r="B459" s="1">
        <v>8264</v>
      </c>
      <c r="C459">
        <v>0.95</v>
      </c>
    </row>
    <row r="460" spans="1:3" x14ac:dyDescent="0.25">
      <c r="A460" s="1">
        <v>1446</v>
      </c>
      <c r="B460" s="1">
        <v>8460</v>
      </c>
      <c r="C460">
        <v>0.95</v>
      </c>
    </row>
    <row r="461" spans="1:3" x14ac:dyDescent="0.25">
      <c r="A461">
        <v>0.878</v>
      </c>
      <c r="B461" s="1">
        <v>8539</v>
      </c>
      <c r="C461">
        <v>0.95</v>
      </c>
    </row>
    <row r="462" spans="1:3" x14ac:dyDescent="0.25">
      <c r="A462">
        <v>0.29299999999999998</v>
      </c>
      <c r="B462" s="1">
        <v>8579</v>
      </c>
      <c r="C462">
        <v>0.95</v>
      </c>
    </row>
    <row r="463" spans="1:3" x14ac:dyDescent="0.25">
      <c r="A463" s="1">
        <v>-8464</v>
      </c>
      <c r="B463" s="1">
        <v>8584</v>
      </c>
      <c r="C463">
        <v>0.95</v>
      </c>
    </row>
    <row r="464" spans="1:3" x14ac:dyDescent="0.25">
      <c r="A464" s="1">
        <v>-9600</v>
      </c>
      <c r="B464" s="1">
        <v>9600</v>
      </c>
      <c r="C464">
        <v>0.95</v>
      </c>
    </row>
    <row r="465" spans="1:3" x14ac:dyDescent="0.25">
      <c r="A465" s="1">
        <v>-9600</v>
      </c>
      <c r="B465" s="1">
        <v>-9600</v>
      </c>
      <c r="C465">
        <v>0.95</v>
      </c>
    </row>
    <row r="466" spans="1:3" x14ac:dyDescent="0.25">
      <c r="A466">
        <v>4.7E-2</v>
      </c>
      <c r="B466" s="1">
        <v>-9599</v>
      </c>
      <c r="C466">
        <v>0.95</v>
      </c>
    </row>
    <row r="467" spans="1:3" x14ac:dyDescent="0.25">
      <c r="A467">
        <v>0.65500000000000003</v>
      </c>
      <c r="B467" s="1">
        <v>-9577</v>
      </c>
      <c r="C467">
        <v>0.95</v>
      </c>
    </row>
    <row r="468" spans="1:3" x14ac:dyDescent="0.25">
      <c r="A468" s="1">
        <v>1307</v>
      </c>
      <c r="B468" s="1">
        <v>-9510</v>
      </c>
      <c r="C468">
        <v>0.95</v>
      </c>
    </row>
    <row r="469" spans="1:3" x14ac:dyDescent="0.25">
      <c r="A469" s="1">
        <v>1953</v>
      </c>
      <c r="B469" s="1">
        <v>-9399</v>
      </c>
      <c r="C469">
        <v>0.95</v>
      </c>
    </row>
    <row r="470" spans="1:3" x14ac:dyDescent="0.25">
      <c r="A470" s="1">
        <v>2590</v>
      </c>
      <c r="B470" s="1">
        <v>-9244</v>
      </c>
      <c r="C470">
        <v>0.95</v>
      </c>
    </row>
    <row r="471" spans="1:3" x14ac:dyDescent="0.25">
      <c r="A471" s="1">
        <v>3215</v>
      </c>
      <c r="B471" s="1">
        <v>-9045</v>
      </c>
      <c r="C471">
        <v>0.95</v>
      </c>
    </row>
    <row r="472" spans="1:3" x14ac:dyDescent="0.25">
      <c r="A472" s="1">
        <v>3821</v>
      </c>
      <c r="B472" s="1">
        <v>-8806</v>
      </c>
      <c r="C472">
        <v>0.95</v>
      </c>
    </row>
    <row r="473" spans="1:3" x14ac:dyDescent="0.25">
      <c r="A473" s="1">
        <v>4705</v>
      </c>
      <c r="B473" s="1">
        <v>-8367</v>
      </c>
      <c r="C473">
        <v>0.95</v>
      </c>
    </row>
    <row r="474" spans="1:3" x14ac:dyDescent="0.25">
      <c r="A474" s="1">
        <v>5539</v>
      </c>
      <c r="B474" s="1">
        <v>-7841</v>
      </c>
      <c r="C474">
        <v>0.95</v>
      </c>
    </row>
    <row r="475" spans="1:3" x14ac:dyDescent="0.25">
      <c r="A475" s="1">
        <v>6058</v>
      </c>
      <c r="B475" s="1">
        <v>-7447</v>
      </c>
      <c r="C475">
        <v>0.95</v>
      </c>
    </row>
    <row r="476" spans="1:3" x14ac:dyDescent="0.25">
      <c r="A476" s="1">
        <v>6552</v>
      </c>
      <c r="B476" s="1">
        <v>-7016</v>
      </c>
      <c r="C476">
        <v>0.95</v>
      </c>
    </row>
    <row r="477" spans="1:3" x14ac:dyDescent="0.25">
      <c r="A477" s="1">
        <v>7016</v>
      </c>
      <c r="B477" s="1">
        <v>-6552</v>
      </c>
      <c r="C477">
        <v>0.95</v>
      </c>
    </row>
    <row r="478" spans="1:3" x14ac:dyDescent="0.25">
      <c r="A478" s="1">
        <v>7447</v>
      </c>
      <c r="B478" s="1">
        <v>-6058</v>
      </c>
      <c r="C478">
        <v>0.95</v>
      </c>
    </row>
    <row r="479" spans="1:3" x14ac:dyDescent="0.25">
      <c r="A479" s="1">
        <v>7843</v>
      </c>
      <c r="B479" s="1">
        <v>-5536</v>
      </c>
      <c r="C479">
        <v>0.95</v>
      </c>
    </row>
    <row r="480" spans="1:3" x14ac:dyDescent="0.25">
      <c r="A480" s="1">
        <v>8202</v>
      </c>
      <c r="B480" s="1">
        <v>-4988</v>
      </c>
      <c r="C480">
        <v>0.95</v>
      </c>
    </row>
    <row r="481" spans="1:3" x14ac:dyDescent="0.25">
      <c r="A481" s="1">
        <v>8523</v>
      </c>
      <c r="B481" s="1">
        <v>-4417</v>
      </c>
      <c r="C481">
        <v>0.95</v>
      </c>
    </row>
    <row r="482" spans="1:3" x14ac:dyDescent="0.25">
      <c r="A482" s="1">
        <v>8804</v>
      </c>
      <c r="B482" s="1">
        <v>-3828</v>
      </c>
      <c r="C482">
        <v>0.95</v>
      </c>
    </row>
    <row r="483" spans="1:3" x14ac:dyDescent="0.25">
      <c r="A483" s="1">
        <v>9151</v>
      </c>
      <c r="B483" s="1">
        <v>-2901</v>
      </c>
      <c r="C483">
        <v>0.95</v>
      </c>
    </row>
    <row r="484" spans="1:3" x14ac:dyDescent="0.25">
      <c r="A484" s="1">
        <v>9327</v>
      </c>
      <c r="B484" s="1">
        <v>-2273</v>
      </c>
      <c r="C484">
        <v>0.95</v>
      </c>
    </row>
    <row r="485" spans="1:3" x14ac:dyDescent="0.25">
      <c r="A485" s="1">
        <v>9460</v>
      </c>
      <c r="B485" s="1">
        <v>-1631</v>
      </c>
      <c r="C485">
        <v>0.95</v>
      </c>
    </row>
    <row r="486" spans="1:3" x14ac:dyDescent="0.25">
      <c r="A486" s="1">
        <v>9549</v>
      </c>
      <c r="B486">
        <f>0.982</f>
        <v>0.98199999999999998</v>
      </c>
      <c r="C486">
        <v>0.95</v>
      </c>
    </row>
    <row r="487" spans="1:3" x14ac:dyDescent="0.25">
      <c r="A487" s="1">
        <v>9594</v>
      </c>
      <c r="B487">
        <f>0.328</f>
        <v>0.32800000000000001</v>
      </c>
      <c r="C487">
        <v>0.95</v>
      </c>
    </row>
    <row r="488" spans="1:3" x14ac:dyDescent="0.25">
      <c r="A488" s="1">
        <v>9594</v>
      </c>
      <c r="B488">
        <v>0.32800000000000001</v>
      </c>
      <c r="C488">
        <v>0.95</v>
      </c>
    </row>
    <row r="489" spans="1:3" x14ac:dyDescent="0.25">
      <c r="A489" s="1">
        <v>9549</v>
      </c>
      <c r="B489">
        <v>0.98199999999999998</v>
      </c>
      <c r="C489">
        <v>0.95</v>
      </c>
    </row>
    <row r="490" spans="1:3" x14ac:dyDescent="0.25">
      <c r="A490" s="1">
        <v>9460</v>
      </c>
      <c r="B490" s="1">
        <v>1631</v>
      </c>
      <c r="C490">
        <v>0.95</v>
      </c>
    </row>
    <row r="491" spans="1:3" x14ac:dyDescent="0.25">
      <c r="A491" s="1">
        <v>9328</v>
      </c>
      <c r="B491" s="1">
        <v>2270</v>
      </c>
      <c r="C491">
        <v>0.95</v>
      </c>
    </row>
    <row r="492" spans="1:3" x14ac:dyDescent="0.25">
      <c r="A492" s="1">
        <v>9044</v>
      </c>
      <c r="B492" s="1">
        <v>3218</v>
      </c>
      <c r="C492">
        <v>0.95</v>
      </c>
    </row>
    <row r="493" spans="1:3" x14ac:dyDescent="0.25">
      <c r="A493" s="1">
        <v>8805</v>
      </c>
      <c r="B493" s="1">
        <v>3825</v>
      </c>
      <c r="C493">
        <v>0.95</v>
      </c>
    </row>
    <row r="494" spans="1:3" x14ac:dyDescent="0.25">
      <c r="A494" s="1">
        <v>8525</v>
      </c>
      <c r="B494" s="1">
        <v>4413</v>
      </c>
      <c r="C494">
        <v>0.95</v>
      </c>
    </row>
    <row r="495" spans="1:3" x14ac:dyDescent="0.25">
      <c r="A495" s="1">
        <v>8027</v>
      </c>
      <c r="B495" s="1">
        <v>5265</v>
      </c>
      <c r="C495">
        <v>0.95</v>
      </c>
    </row>
    <row r="496" spans="1:3" x14ac:dyDescent="0.25">
      <c r="A496" s="1">
        <v>7446</v>
      </c>
      <c r="B496" s="1">
        <v>6058</v>
      </c>
      <c r="C496">
        <v>0.95</v>
      </c>
    </row>
    <row r="497" spans="1:3" x14ac:dyDescent="0.25">
      <c r="A497" s="1">
        <v>6788</v>
      </c>
      <c r="B497" s="1">
        <v>6788</v>
      </c>
      <c r="C497">
        <v>0.95</v>
      </c>
    </row>
    <row r="498" spans="1:3" x14ac:dyDescent="0.25">
      <c r="A498" s="1">
        <v>6058</v>
      </c>
      <c r="B498" s="1">
        <v>7446</v>
      </c>
      <c r="C498">
        <v>0.95</v>
      </c>
    </row>
    <row r="499" spans="1:3" x14ac:dyDescent="0.25">
      <c r="A499" s="1">
        <v>5265</v>
      </c>
      <c r="B499" s="1">
        <v>8027</v>
      </c>
      <c r="C499">
        <v>0.95</v>
      </c>
    </row>
    <row r="500" spans="1:3" x14ac:dyDescent="0.25">
      <c r="A500" s="1">
        <v>4416</v>
      </c>
      <c r="B500" s="1">
        <v>8523</v>
      </c>
      <c r="C500">
        <v>0.95</v>
      </c>
    </row>
    <row r="501" spans="1:3" x14ac:dyDescent="0.25">
      <c r="A501" s="1">
        <v>3522</v>
      </c>
      <c r="B501" s="1">
        <v>8930</v>
      </c>
      <c r="C501">
        <v>0.95</v>
      </c>
    </row>
    <row r="502" spans="1:3" x14ac:dyDescent="0.25">
      <c r="A502" s="1">
        <v>2590</v>
      </c>
      <c r="B502" s="1">
        <v>9244</v>
      </c>
      <c r="C502">
        <v>0.95</v>
      </c>
    </row>
    <row r="503" spans="1:3" x14ac:dyDescent="0.25">
      <c r="A503" s="1">
        <v>1628</v>
      </c>
      <c r="B503" s="1">
        <v>9461</v>
      </c>
      <c r="C503">
        <v>0.95</v>
      </c>
    </row>
    <row r="504" spans="1:3" x14ac:dyDescent="0.25">
      <c r="A504">
        <v>0.98199999999999998</v>
      </c>
      <c r="B504" s="1">
        <v>9549</v>
      </c>
      <c r="C504">
        <v>0.95</v>
      </c>
    </row>
    <row r="505" spans="1:3" x14ac:dyDescent="0.25">
      <c r="A505">
        <v>0.32800000000000001</v>
      </c>
      <c r="B505" s="1">
        <v>9594</v>
      </c>
      <c r="C505">
        <v>0.95</v>
      </c>
    </row>
    <row r="506" spans="1:3" x14ac:dyDescent="0.25">
      <c r="A506" s="1">
        <v>-9480</v>
      </c>
      <c r="B506" s="1">
        <v>9600</v>
      </c>
      <c r="C506">
        <v>0.95</v>
      </c>
    </row>
    <row r="507" spans="1:3" x14ac:dyDescent="0.25">
      <c r="A507" s="1">
        <v>-9201</v>
      </c>
      <c r="B507" s="1">
        <v>8906</v>
      </c>
      <c r="C507">
        <v>0.95</v>
      </c>
    </row>
    <row r="508" spans="1:3" x14ac:dyDescent="0.25">
      <c r="A508" s="1">
        <v>3729</v>
      </c>
      <c r="B508" s="1">
        <v>4739</v>
      </c>
      <c r="C508">
        <v>0.95</v>
      </c>
    </row>
    <row r="509" spans="1:3" x14ac:dyDescent="0.25">
      <c r="A509" s="1">
        <v>4739</v>
      </c>
      <c r="B509" s="1">
        <v>3729</v>
      </c>
      <c r="C509">
        <v>0.95</v>
      </c>
    </row>
    <row r="510" spans="1:3" x14ac:dyDescent="0.25">
      <c r="A510" s="1">
        <v>5149</v>
      </c>
      <c r="B510" s="1">
        <v>3275</v>
      </c>
      <c r="C510">
        <v>0.95</v>
      </c>
    </row>
    <row r="511" spans="1:3" x14ac:dyDescent="0.25">
      <c r="A511" s="1">
        <v>5511</v>
      </c>
      <c r="B511" s="1">
        <v>2780</v>
      </c>
      <c r="C511">
        <v>0.95</v>
      </c>
    </row>
    <row r="512" spans="1:3" x14ac:dyDescent="0.25">
      <c r="A512" s="1">
        <v>5838</v>
      </c>
      <c r="B512" s="1">
        <v>2221</v>
      </c>
      <c r="C512">
        <v>0.95</v>
      </c>
    </row>
    <row r="513" spans="1:3" x14ac:dyDescent="0.25">
      <c r="A513" s="1">
        <v>5999</v>
      </c>
      <c r="B513" s="1">
        <v>1883</v>
      </c>
      <c r="C513">
        <v>0.95</v>
      </c>
    </row>
    <row r="514" spans="1:3" x14ac:dyDescent="0.25">
      <c r="A514" s="1">
        <v>6136</v>
      </c>
      <c r="B514" s="1">
        <v>1534</v>
      </c>
      <c r="C514">
        <v>0.95</v>
      </c>
    </row>
    <row r="515" spans="1:3" x14ac:dyDescent="0.25">
      <c r="A515" s="1">
        <v>6331</v>
      </c>
      <c r="B515">
        <v>0.88100000000000001</v>
      </c>
      <c r="C515">
        <v>0.95</v>
      </c>
    </row>
    <row r="516" spans="1:3" x14ac:dyDescent="0.25">
      <c r="A516" s="1">
        <v>6408</v>
      </c>
      <c r="B516">
        <v>0.51400000000000001</v>
      </c>
      <c r="C516">
        <v>0.95</v>
      </c>
    </row>
    <row r="517" spans="1:3" x14ac:dyDescent="0.25">
      <c r="A517" s="1">
        <v>6457</v>
      </c>
      <c r="B517">
        <v>0.151</v>
      </c>
      <c r="C517">
        <v>0.95</v>
      </c>
    </row>
    <row r="518" spans="1:3" x14ac:dyDescent="0.25">
      <c r="A518">
        <v>0.151</v>
      </c>
      <c r="B518" s="1">
        <v>6457</v>
      </c>
      <c r="C518">
        <v>0.95</v>
      </c>
    </row>
    <row r="519" spans="1:3" x14ac:dyDescent="0.25">
      <c r="A519" t="e" vm="1">
        <f>_FV(0,"3")</f>
        <v>#VALUE!</v>
      </c>
      <c r="B519" s="1">
        <v>6491</v>
      </c>
      <c r="C519">
        <v>0.95</v>
      </c>
    </row>
    <row r="520" spans="1:3" x14ac:dyDescent="0.25">
      <c r="A520" s="1">
        <v>-1743</v>
      </c>
      <c r="B520" s="1">
        <v>6492</v>
      </c>
      <c r="C520">
        <v>0.95</v>
      </c>
    </row>
    <row r="521" spans="1:3" x14ac:dyDescent="0.25">
      <c r="A521" s="1">
        <v>6384</v>
      </c>
      <c r="B521" s="1">
        <v>-1635</v>
      </c>
      <c r="C521">
        <v>0.95</v>
      </c>
    </row>
    <row r="522" spans="1:3" x14ac:dyDescent="0.25">
      <c r="A522" s="1">
        <v>6223</v>
      </c>
      <c r="B522" s="1">
        <v>-2283</v>
      </c>
      <c r="C522">
        <v>0.95</v>
      </c>
    </row>
    <row r="523" spans="1:3" x14ac:dyDescent="0.25">
      <c r="A523" s="1">
        <v>5928</v>
      </c>
      <c r="B523" s="1">
        <v>-3039</v>
      </c>
      <c r="C523">
        <v>0.95</v>
      </c>
    </row>
    <row r="524" spans="1:3" x14ac:dyDescent="0.25">
      <c r="A524" s="1">
        <v>-3603</v>
      </c>
      <c r="B524" s="1">
        <v>6493</v>
      </c>
      <c r="C524">
        <v>0.95</v>
      </c>
    </row>
    <row r="525" spans="1:3" x14ac:dyDescent="0.25">
      <c r="A525" s="1">
        <v>-5464</v>
      </c>
      <c r="B525" s="1">
        <v>6494</v>
      </c>
      <c r="C525">
        <v>0.95</v>
      </c>
    </row>
    <row r="526" spans="1:3" x14ac:dyDescent="0.25">
      <c r="A526" s="1">
        <v>5222</v>
      </c>
      <c r="B526" s="1">
        <v>-4191</v>
      </c>
      <c r="C526">
        <v>0.95</v>
      </c>
    </row>
    <row r="527" spans="1:3" x14ac:dyDescent="0.25">
      <c r="A527" s="1">
        <v>4882</v>
      </c>
      <c r="B527" s="1">
        <v>-4593</v>
      </c>
      <c r="C527">
        <v>0.95</v>
      </c>
    </row>
    <row r="528" spans="1:3" x14ac:dyDescent="0.25">
      <c r="A528" s="1">
        <v>4593</v>
      </c>
      <c r="B528" s="1">
        <v>-4882</v>
      </c>
      <c r="C528">
        <v>0.95</v>
      </c>
    </row>
    <row r="529" spans="1:3" x14ac:dyDescent="0.25">
      <c r="A529" s="1">
        <v>4305</v>
      </c>
      <c r="B529" s="1">
        <v>-5134</v>
      </c>
      <c r="C529">
        <v>0.95</v>
      </c>
    </row>
    <row r="530" spans="1:3" x14ac:dyDescent="0.25">
      <c r="A530" s="1">
        <v>-6497</v>
      </c>
      <c r="B530" s="1">
        <v>5668</v>
      </c>
      <c r="C530">
        <v>0.95</v>
      </c>
    </row>
    <row r="531" spans="1:3" x14ac:dyDescent="0.25">
      <c r="A531" s="1">
        <v>-6497</v>
      </c>
      <c r="B531" s="1">
        <v>3808</v>
      </c>
      <c r="C531">
        <v>0.95</v>
      </c>
    </row>
    <row r="532" spans="1:3" x14ac:dyDescent="0.25">
      <c r="A532" s="1">
        <v>3169</v>
      </c>
      <c r="B532" s="1">
        <v>-5857</v>
      </c>
      <c r="C532">
        <v>0.95</v>
      </c>
    </row>
    <row r="533" spans="1:3" x14ac:dyDescent="0.25">
      <c r="A533" s="1">
        <v>2859</v>
      </c>
      <c r="B533" s="1">
        <v>-6011</v>
      </c>
      <c r="C533">
        <v>0.95</v>
      </c>
    </row>
    <row r="534" spans="1:3" x14ac:dyDescent="0.25">
      <c r="A534" s="1">
        <v>2510</v>
      </c>
      <c r="B534" s="1">
        <v>-6149</v>
      </c>
      <c r="C534">
        <v>0.95</v>
      </c>
    </row>
    <row r="535" spans="1:3" x14ac:dyDescent="0.25">
      <c r="A535" s="1">
        <v>1802</v>
      </c>
      <c r="B535" s="1">
        <v>-6350</v>
      </c>
      <c r="C535">
        <v>0.95</v>
      </c>
    </row>
    <row r="536" spans="1:3" x14ac:dyDescent="0.25">
      <c r="A536" s="1">
        <v>-6497</v>
      </c>
      <c r="B536" s="1">
        <v>1949</v>
      </c>
      <c r="C536">
        <v>0.95</v>
      </c>
    </row>
    <row r="537" spans="1:3" x14ac:dyDescent="0.25">
      <c r="A537" s="1">
        <v>-6497</v>
      </c>
      <c r="B537">
        <v>0.09</v>
      </c>
      <c r="C537">
        <v>0.95</v>
      </c>
    </row>
    <row r="538" spans="1:3" x14ac:dyDescent="0.25">
      <c r="A538" t="s">
        <v>25</v>
      </c>
      <c r="B538" s="1">
        <v>-6496</v>
      </c>
      <c r="C538">
        <v>0.95</v>
      </c>
    </row>
    <row r="539" spans="1:3" x14ac:dyDescent="0.25">
      <c r="A539" s="1">
        <v>-1771</v>
      </c>
      <c r="B539" s="1">
        <v>-6496</v>
      </c>
      <c r="C539">
        <v>0.95</v>
      </c>
    </row>
    <row r="540" spans="1:3" x14ac:dyDescent="0.25">
      <c r="A540" s="1">
        <v>-6497</v>
      </c>
      <c r="B540" s="1">
        <v>-1770</v>
      </c>
      <c r="C540">
        <v>0.95</v>
      </c>
    </row>
    <row r="541" spans="1:3" x14ac:dyDescent="0.25">
      <c r="A541" s="1">
        <v>-6497</v>
      </c>
      <c r="B541" s="1">
        <v>-3629</v>
      </c>
      <c r="C541">
        <v>0.95</v>
      </c>
    </row>
    <row r="542" spans="1:3" x14ac:dyDescent="0.25">
      <c r="A542" s="1">
        <v>-3630</v>
      </c>
      <c r="B542" s="1">
        <v>-6497</v>
      </c>
      <c r="C542">
        <v>0.95</v>
      </c>
    </row>
    <row r="543" spans="1:3" x14ac:dyDescent="0.25">
      <c r="A543" s="1">
        <v>-5489</v>
      </c>
      <c r="B543" s="1">
        <v>-6497</v>
      </c>
      <c r="C543">
        <v>0.95</v>
      </c>
    </row>
    <row r="544" spans="1:3" x14ac:dyDescent="0.25">
      <c r="A544" s="1">
        <v>-6497</v>
      </c>
      <c r="B544" s="1">
        <v>-5489</v>
      </c>
      <c r="C544">
        <v>0.95</v>
      </c>
    </row>
    <row r="545" spans="1:3" x14ac:dyDescent="0.25">
      <c r="A545" s="1">
        <v>-6497</v>
      </c>
      <c r="B545" s="1">
        <v>-5489</v>
      </c>
      <c r="C545" s="1">
        <v>1250</v>
      </c>
    </row>
    <row r="546" spans="1:3" x14ac:dyDescent="0.25">
      <c r="A546" s="1">
        <v>-7289</v>
      </c>
      <c r="B546" s="1">
        <v>7287</v>
      </c>
      <c r="C546" s="1">
        <v>1250</v>
      </c>
    </row>
    <row r="547" spans="1:3" x14ac:dyDescent="0.25">
      <c r="A547" s="1">
        <v>-7289</v>
      </c>
      <c r="B547" s="1">
        <v>-7288</v>
      </c>
      <c r="C547" s="1">
        <v>1250</v>
      </c>
    </row>
    <row r="548" spans="1:3" x14ac:dyDescent="0.25">
      <c r="A548" t="s">
        <v>26</v>
      </c>
      <c r="B548" s="1">
        <v>-7287</v>
      </c>
      <c r="C548" s="1">
        <v>1250</v>
      </c>
    </row>
    <row r="549" spans="1:3" x14ac:dyDescent="0.25">
      <c r="A549" t="s">
        <v>27</v>
      </c>
      <c r="B549" s="1">
        <v>-7270</v>
      </c>
      <c r="C549" s="1">
        <v>1250</v>
      </c>
    </row>
    <row r="550" spans="1:3" x14ac:dyDescent="0.25">
      <c r="A550" t="s">
        <v>11</v>
      </c>
      <c r="B550" s="1">
        <v>-7219</v>
      </c>
      <c r="C550" s="1">
        <v>1250</v>
      </c>
    </row>
    <row r="551" spans="1:3" x14ac:dyDescent="0.25">
      <c r="A551" s="1">
        <v>1483</v>
      </c>
      <c r="B551" s="1">
        <v>-7135</v>
      </c>
      <c r="C551" s="1">
        <v>1250</v>
      </c>
    </row>
    <row r="552" spans="1:3" x14ac:dyDescent="0.25">
      <c r="A552" s="1">
        <v>1966</v>
      </c>
      <c r="B552" s="1">
        <v>-7017</v>
      </c>
      <c r="C552" s="1">
        <v>1250</v>
      </c>
    </row>
    <row r="553" spans="1:3" x14ac:dyDescent="0.25">
      <c r="A553" s="1">
        <v>2454</v>
      </c>
      <c r="B553" s="1">
        <v>-6862</v>
      </c>
      <c r="C553" s="1">
        <v>1250</v>
      </c>
    </row>
    <row r="554" spans="1:3" x14ac:dyDescent="0.25">
      <c r="A554" s="1">
        <v>3127</v>
      </c>
      <c r="B554" s="1">
        <v>-6582</v>
      </c>
      <c r="C554" s="1">
        <v>1250</v>
      </c>
    </row>
    <row r="555" spans="1:3" x14ac:dyDescent="0.25">
      <c r="A555" s="1">
        <v>3551</v>
      </c>
      <c r="B555" s="1">
        <v>-6363</v>
      </c>
      <c r="C555" s="1">
        <v>1250</v>
      </c>
    </row>
    <row r="556" spans="1:3" x14ac:dyDescent="0.25">
      <c r="A556" s="1">
        <v>4221</v>
      </c>
      <c r="B556" s="1">
        <v>-5939</v>
      </c>
      <c r="C556" s="1">
        <v>1250</v>
      </c>
    </row>
    <row r="557" spans="1:3" x14ac:dyDescent="0.25">
      <c r="A557" s="1">
        <v>4599</v>
      </c>
      <c r="B557" s="1">
        <v>-5653</v>
      </c>
      <c r="C557" s="1">
        <v>1250</v>
      </c>
    </row>
    <row r="558" spans="1:3" x14ac:dyDescent="0.25">
      <c r="A558" s="1">
        <v>4974</v>
      </c>
      <c r="B558" s="1">
        <v>-5326</v>
      </c>
      <c r="C558" s="1">
        <v>1250</v>
      </c>
    </row>
    <row r="559" spans="1:3" x14ac:dyDescent="0.25">
      <c r="A559" s="1">
        <v>5326</v>
      </c>
      <c r="B559" s="1">
        <v>-4974</v>
      </c>
      <c r="C559" s="1">
        <v>1250</v>
      </c>
    </row>
    <row r="560" spans="1:3" x14ac:dyDescent="0.25">
      <c r="A560" s="1">
        <v>5653</v>
      </c>
      <c r="B560" s="1">
        <v>-4599</v>
      </c>
      <c r="C560" s="1">
        <v>1250</v>
      </c>
    </row>
    <row r="561" spans="1:3" x14ac:dyDescent="0.25">
      <c r="A561" s="1">
        <v>5953</v>
      </c>
      <c r="B561" s="1">
        <v>-4202</v>
      </c>
      <c r="C561" s="1">
        <v>1250</v>
      </c>
    </row>
    <row r="562" spans="1:3" x14ac:dyDescent="0.25">
      <c r="A562" s="1">
        <v>6226</v>
      </c>
      <c r="B562" s="1">
        <v>-3786</v>
      </c>
      <c r="C562" s="1">
        <v>1250</v>
      </c>
    </row>
    <row r="563" spans="1:3" x14ac:dyDescent="0.25">
      <c r="A563" s="1">
        <v>6470</v>
      </c>
      <c r="B563" s="1">
        <v>-3353</v>
      </c>
      <c r="C563" s="1">
        <v>1250</v>
      </c>
    </row>
    <row r="564" spans="1:3" x14ac:dyDescent="0.25">
      <c r="A564" s="1">
        <v>6674</v>
      </c>
      <c r="B564" s="1">
        <v>-2924</v>
      </c>
      <c r="C564" s="1">
        <v>1250</v>
      </c>
    </row>
    <row r="565" spans="1:3" x14ac:dyDescent="0.25">
      <c r="A565" s="1">
        <v>6952</v>
      </c>
      <c r="B565" s="1">
        <v>-2182</v>
      </c>
      <c r="C565" s="1">
        <v>1250</v>
      </c>
    </row>
    <row r="566" spans="1:3" x14ac:dyDescent="0.25">
      <c r="A566" s="1">
        <v>7080</v>
      </c>
      <c r="B566" s="1">
        <v>-1725</v>
      </c>
      <c r="C566" s="1">
        <v>1250</v>
      </c>
    </row>
    <row r="567" spans="1:3" x14ac:dyDescent="0.25">
      <c r="A567" s="1">
        <v>7181</v>
      </c>
      <c r="B567" s="1">
        <v>-1238</v>
      </c>
      <c r="C567" s="1">
        <v>1250</v>
      </c>
    </row>
    <row r="568" spans="1:3" x14ac:dyDescent="0.25">
      <c r="A568" s="1">
        <v>7249</v>
      </c>
      <c r="B568">
        <f>0.745</f>
        <v>0.745</v>
      </c>
      <c r="C568" s="1">
        <v>1250</v>
      </c>
    </row>
    <row r="569" spans="1:3" x14ac:dyDescent="0.25">
      <c r="A569" s="1">
        <v>7283</v>
      </c>
      <c r="B569">
        <f>0.249</f>
        <v>0.249</v>
      </c>
      <c r="C569" s="1">
        <v>1250</v>
      </c>
    </row>
    <row r="570" spans="1:3" x14ac:dyDescent="0.25">
      <c r="A570" s="1">
        <v>7283</v>
      </c>
      <c r="B570">
        <v>0.249</v>
      </c>
      <c r="C570" s="1">
        <v>1250</v>
      </c>
    </row>
    <row r="571" spans="1:3" x14ac:dyDescent="0.25">
      <c r="A571" s="1">
        <v>7249</v>
      </c>
      <c r="B571">
        <v>0.745</v>
      </c>
      <c r="C571" s="1">
        <v>1250</v>
      </c>
    </row>
    <row r="572" spans="1:3" x14ac:dyDescent="0.25">
      <c r="A572" s="1">
        <v>7181</v>
      </c>
      <c r="B572" s="1">
        <v>1238</v>
      </c>
      <c r="C572" s="1">
        <v>1250</v>
      </c>
    </row>
    <row r="573" spans="1:3" x14ac:dyDescent="0.25">
      <c r="A573" s="1">
        <v>7085</v>
      </c>
      <c r="B573" s="1">
        <v>1703</v>
      </c>
      <c r="C573" s="1">
        <v>1250</v>
      </c>
    </row>
    <row r="574" spans="1:3" x14ac:dyDescent="0.25">
      <c r="A574" s="1">
        <v>6858</v>
      </c>
      <c r="B574" s="1">
        <v>2462</v>
      </c>
      <c r="C574" s="1">
        <v>1250</v>
      </c>
    </row>
    <row r="575" spans="1:3" x14ac:dyDescent="0.25">
      <c r="A575" s="1">
        <v>6684</v>
      </c>
      <c r="B575" s="1">
        <v>2903</v>
      </c>
      <c r="C575" s="1">
        <v>1250</v>
      </c>
    </row>
    <row r="576" spans="1:3" x14ac:dyDescent="0.25">
      <c r="A576" s="1">
        <v>6480</v>
      </c>
      <c r="B576" s="1">
        <v>3332</v>
      </c>
      <c r="C576" s="1">
        <v>1250</v>
      </c>
    </row>
    <row r="577" spans="1:3" x14ac:dyDescent="0.25">
      <c r="A577" s="1">
        <v>6092</v>
      </c>
      <c r="B577" s="1">
        <v>3996</v>
      </c>
      <c r="C577" s="1">
        <v>1250</v>
      </c>
    </row>
    <row r="578" spans="1:3" x14ac:dyDescent="0.25">
      <c r="A578" s="1">
        <v>5651</v>
      </c>
      <c r="B578" s="1">
        <v>4598</v>
      </c>
      <c r="C578" s="1">
        <v>1250</v>
      </c>
    </row>
    <row r="579" spans="1:3" x14ac:dyDescent="0.25">
      <c r="A579" s="1">
        <v>5151</v>
      </c>
      <c r="B579" s="1">
        <v>5151</v>
      </c>
      <c r="C579" s="1">
        <v>1250</v>
      </c>
    </row>
    <row r="580" spans="1:3" x14ac:dyDescent="0.25">
      <c r="A580" s="1">
        <v>4598</v>
      </c>
      <c r="B580" s="1">
        <v>5651</v>
      </c>
      <c r="C580" s="1">
        <v>1250</v>
      </c>
    </row>
    <row r="581" spans="1:3" x14ac:dyDescent="0.25">
      <c r="A581" s="1">
        <v>3996</v>
      </c>
      <c r="B581" s="1">
        <v>6092</v>
      </c>
      <c r="C581" s="1">
        <v>1250</v>
      </c>
    </row>
    <row r="582" spans="1:3" x14ac:dyDescent="0.25">
      <c r="A582" s="1">
        <v>3352</v>
      </c>
      <c r="B582" s="1">
        <v>6468</v>
      </c>
      <c r="C582" s="1">
        <v>1250</v>
      </c>
    </row>
    <row r="583" spans="1:3" x14ac:dyDescent="0.25">
      <c r="A583" s="1">
        <v>2673</v>
      </c>
      <c r="B583" s="1">
        <v>6777</v>
      </c>
      <c r="C583" s="1">
        <v>1250</v>
      </c>
    </row>
    <row r="584" spans="1:3" x14ac:dyDescent="0.25">
      <c r="A584" s="1">
        <v>1966</v>
      </c>
      <c r="B584" s="1">
        <v>7015</v>
      </c>
      <c r="C584" s="1">
        <v>1250</v>
      </c>
    </row>
    <row r="585" spans="1:3" x14ac:dyDescent="0.25">
      <c r="A585" s="1">
        <v>1215</v>
      </c>
      <c r="B585" s="1">
        <v>7184</v>
      </c>
      <c r="C585" s="1">
        <v>1250</v>
      </c>
    </row>
    <row r="586" spans="1:3" x14ac:dyDescent="0.25">
      <c r="A586" t="s">
        <v>12</v>
      </c>
      <c r="B586" s="1">
        <v>7249</v>
      </c>
      <c r="C586" s="1">
        <v>1250</v>
      </c>
    </row>
    <row r="587" spans="1:3" x14ac:dyDescent="0.25">
      <c r="A587" t="s">
        <v>13</v>
      </c>
      <c r="B587" s="1">
        <v>7283</v>
      </c>
      <c r="C587" s="1">
        <v>1250</v>
      </c>
    </row>
    <row r="588" spans="1:3" x14ac:dyDescent="0.25">
      <c r="A588" s="1">
        <v>-7169</v>
      </c>
      <c r="B588" s="1">
        <v>7287</v>
      </c>
      <c r="C588" s="1">
        <v>1250</v>
      </c>
    </row>
    <row r="589" spans="1:3" x14ac:dyDescent="0.25">
      <c r="A589" s="1">
        <v>-8584</v>
      </c>
      <c r="B589" s="1">
        <v>8584</v>
      </c>
      <c r="C589" s="1">
        <v>1250</v>
      </c>
    </row>
    <row r="590" spans="1:3" x14ac:dyDescent="0.25">
      <c r="A590" s="1">
        <v>-8584</v>
      </c>
      <c r="B590" s="1">
        <v>-8584</v>
      </c>
      <c r="C590" s="1">
        <v>1250</v>
      </c>
    </row>
    <row r="591" spans="1:3" x14ac:dyDescent="0.25">
      <c r="A591" t="s">
        <v>28</v>
      </c>
      <c r="B591" s="1">
        <v>-8583</v>
      </c>
      <c r="C591" s="1">
        <v>1250</v>
      </c>
    </row>
    <row r="592" spans="1:3" x14ac:dyDescent="0.25">
      <c r="A592" t="s">
        <v>29</v>
      </c>
      <c r="B592" s="1">
        <v>-8564</v>
      </c>
      <c r="C592" s="1">
        <v>1250</v>
      </c>
    </row>
    <row r="593" spans="1:3" x14ac:dyDescent="0.25">
      <c r="A593" s="1">
        <v>1169</v>
      </c>
      <c r="B593" s="1">
        <v>-8504</v>
      </c>
      <c r="C593" s="1">
        <v>1250</v>
      </c>
    </row>
    <row r="594" spans="1:3" x14ac:dyDescent="0.25">
      <c r="A594" s="1">
        <v>1746</v>
      </c>
      <c r="B594" s="1">
        <v>-8404</v>
      </c>
      <c r="C594" s="1">
        <v>1250</v>
      </c>
    </row>
    <row r="595" spans="1:3" x14ac:dyDescent="0.25">
      <c r="A595" s="1">
        <v>2316</v>
      </c>
      <c r="B595" s="1">
        <v>-8265</v>
      </c>
      <c r="C595" s="1">
        <v>1250</v>
      </c>
    </row>
    <row r="596" spans="1:3" x14ac:dyDescent="0.25">
      <c r="A596" s="1">
        <v>2882</v>
      </c>
      <c r="B596" s="1">
        <v>-8086</v>
      </c>
      <c r="C596" s="1">
        <v>1250</v>
      </c>
    </row>
    <row r="597" spans="1:3" x14ac:dyDescent="0.25">
      <c r="A597" s="1">
        <v>3685</v>
      </c>
      <c r="B597" s="1">
        <v>-7752</v>
      </c>
      <c r="C597" s="1">
        <v>1250</v>
      </c>
    </row>
    <row r="598" spans="1:3" x14ac:dyDescent="0.25">
      <c r="A598" s="1">
        <v>4196</v>
      </c>
      <c r="B598" s="1">
        <v>-7488</v>
      </c>
      <c r="C598" s="1">
        <v>1250</v>
      </c>
    </row>
    <row r="599" spans="1:3" x14ac:dyDescent="0.25">
      <c r="A599" s="1">
        <v>4960</v>
      </c>
      <c r="B599" s="1">
        <v>-7005</v>
      </c>
      <c r="C599" s="1">
        <v>1250</v>
      </c>
    </row>
    <row r="600" spans="1:3" x14ac:dyDescent="0.25">
      <c r="A600" s="1">
        <v>5417</v>
      </c>
      <c r="B600" s="1">
        <v>-6658</v>
      </c>
      <c r="C600" s="1">
        <v>1250</v>
      </c>
    </row>
    <row r="601" spans="1:3" x14ac:dyDescent="0.25">
      <c r="A601" s="1">
        <v>5859</v>
      </c>
      <c r="B601" s="1">
        <v>-6273</v>
      </c>
      <c r="C601" s="1">
        <v>1250</v>
      </c>
    </row>
    <row r="602" spans="1:3" x14ac:dyDescent="0.25">
      <c r="A602" s="1">
        <v>6273</v>
      </c>
      <c r="B602" s="1">
        <v>-5859</v>
      </c>
      <c r="C602" s="1">
        <v>1250</v>
      </c>
    </row>
    <row r="603" spans="1:3" x14ac:dyDescent="0.25">
      <c r="A603" s="1">
        <v>6658</v>
      </c>
      <c r="B603" s="1">
        <v>-5417</v>
      </c>
      <c r="C603" s="1">
        <v>1250</v>
      </c>
    </row>
    <row r="604" spans="1:3" x14ac:dyDescent="0.25">
      <c r="A604" s="1">
        <v>7013</v>
      </c>
      <c r="B604" s="1">
        <v>-4950</v>
      </c>
      <c r="C604" s="1">
        <v>1250</v>
      </c>
    </row>
    <row r="605" spans="1:3" x14ac:dyDescent="0.25">
      <c r="A605" s="1">
        <v>7334</v>
      </c>
      <c r="B605" s="1">
        <v>-4460</v>
      </c>
      <c r="C605" s="1">
        <v>1250</v>
      </c>
    </row>
    <row r="606" spans="1:3" x14ac:dyDescent="0.25">
      <c r="A606" s="1">
        <v>7621</v>
      </c>
      <c r="B606" s="1">
        <v>-3949</v>
      </c>
      <c r="C606" s="1">
        <v>1250</v>
      </c>
    </row>
    <row r="607" spans="1:3" x14ac:dyDescent="0.25">
      <c r="A607" s="1">
        <v>7868</v>
      </c>
      <c r="B607" s="1">
        <v>-3431</v>
      </c>
      <c r="C607" s="1">
        <v>1250</v>
      </c>
    </row>
    <row r="608" spans="1:3" x14ac:dyDescent="0.25">
      <c r="A608" s="1">
        <v>8185</v>
      </c>
      <c r="B608" s="1">
        <v>-2585</v>
      </c>
      <c r="C608" s="1">
        <v>1250</v>
      </c>
    </row>
    <row r="609" spans="1:3" x14ac:dyDescent="0.25">
      <c r="A609" s="1">
        <v>8339</v>
      </c>
      <c r="B609" s="1">
        <v>-2032</v>
      </c>
      <c r="C609" s="1">
        <v>1250</v>
      </c>
    </row>
    <row r="610" spans="1:3" x14ac:dyDescent="0.25">
      <c r="A610" s="1">
        <v>8459</v>
      </c>
      <c r="B610" s="1">
        <v>-1458</v>
      </c>
      <c r="C610" s="1">
        <v>1250</v>
      </c>
    </row>
    <row r="611" spans="1:3" x14ac:dyDescent="0.25">
      <c r="A611" s="1">
        <v>8539</v>
      </c>
      <c r="B611">
        <f>0.878</f>
        <v>0.878</v>
      </c>
      <c r="C611" s="1">
        <v>1250</v>
      </c>
    </row>
    <row r="612" spans="1:3" x14ac:dyDescent="0.25">
      <c r="A612" s="1">
        <v>8579</v>
      </c>
      <c r="B612">
        <f>0.293</f>
        <v>0.29299999999999998</v>
      </c>
      <c r="C612" s="1">
        <v>1250</v>
      </c>
    </row>
    <row r="613" spans="1:3" x14ac:dyDescent="0.25">
      <c r="A613" s="1">
        <v>8579</v>
      </c>
      <c r="B613">
        <v>0.29299999999999998</v>
      </c>
      <c r="C613" s="1">
        <v>1250</v>
      </c>
    </row>
    <row r="614" spans="1:3" x14ac:dyDescent="0.25">
      <c r="A614" s="1">
        <v>8539</v>
      </c>
      <c r="B614">
        <v>0.878</v>
      </c>
      <c r="C614" s="1">
        <v>1250</v>
      </c>
    </row>
    <row r="615" spans="1:3" x14ac:dyDescent="0.25">
      <c r="A615" s="1">
        <v>8459</v>
      </c>
      <c r="B615" s="1">
        <v>1458</v>
      </c>
      <c r="C615" s="1">
        <v>1250</v>
      </c>
    </row>
    <row r="616" spans="1:3" x14ac:dyDescent="0.25">
      <c r="A616" s="1">
        <v>8342</v>
      </c>
      <c r="B616" s="1">
        <v>2020</v>
      </c>
      <c r="C616" s="1">
        <v>1250</v>
      </c>
    </row>
    <row r="617" spans="1:3" x14ac:dyDescent="0.25">
      <c r="A617" s="1">
        <v>8084</v>
      </c>
      <c r="B617" s="1">
        <v>2886</v>
      </c>
      <c r="C617" s="1">
        <v>1250</v>
      </c>
    </row>
    <row r="618" spans="1:3" x14ac:dyDescent="0.25">
      <c r="A618" s="1">
        <v>7873</v>
      </c>
      <c r="B618" s="1">
        <v>3420</v>
      </c>
      <c r="C618" s="1">
        <v>1250</v>
      </c>
    </row>
    <row r="619" spans="1:3" x14ac:dyDescent="0.25">
      <c r="A619" s="1">
        <v>7626</v>
      </c>
      <c r="B619" s="1">
        <v>3938</v>
      </c>
      <c r="C619" s="1">
        <v>1250</v>
      </c>
    </row>
    <row r="620" spans="1:3" x14ac:dyDescent="0.25">
      <c r="A620" s="1">
        <v>7177</v>
      </c>
      <c r="B620" s="1">
        <v>4707</v>
      </c>
      <c r="C620" s="1">
        <v>1250</v>
      </c>
    </row>
    <row r="621" spans="1:3" x14ac:dyDescent="0.25">
      <c r="A621" s="1">
        <v>6658</v>
      </c>
      <c r="B621" s="1">
        <v>5416</v>
      </c>
      <c r="C621" s="1">
        <v>1250</v>
      </c>
    </row>
    <row r="622" spans="1:3" x14ac:dyDescent="0.25">
      <c r="A622" s="1">
        <v>6069</v>
      </c>
      <c r="B622" s="1">
        <v>6069</v>
      </c>
      <c r="C622" s="1">
        <v>1250</v>
      </c>
    </row>
    <row r="623" spans="1:3" x14ac:dyDescent="0.25">
      <c r="A623" s="1">
        <v>5416</v>
      </c>
      <c r="B623" s="1">
        <v>6658</v>
      </c>
      <c r="C623" s="1">
        <v>1250</v>
      </c>
    </row>
    <row r="624" spans="1:3" x14ac:dyDescent="0.25">
      <c r="A624" s="1">
        <v>4707</v>
      </c>
      <c r="B624" s="1">
        <v>7177</v>
      </c>
      <c r="C624" s="1">
        <v>1250</v>
      </c>
    </row>
    <row r="625" spans="1:3" x14ac:dyDescent="0.25">
      <c r="A625" s="1">
        <v>3949</v>
      </c>
      <c r="B625" s="1">
        <v>7620</v>
      </c>
      <c r="C625" s="1">
        <v>1250</v>
      </c>
    </row>
    <row r="626" spans="1:3" x14ac:dyDescent="0.25">
      <c r="A626" s="1">
        <v>3149</v>
      </c>
      <c r="B626" s="1">
        <v>7984</v>
      </c>
      <c r="C626" s="1">
        <v>1250</v>
      </c>
    </row>
    <row r="627" spans="1:3" x14ac:dyDescent="0.25">
      <c r="A627" s="1">
        <v>2316</v>
      </c>
      <c r="B627" s="1">
        <v>8264</v>
      </c>
      <c r="C627" s="1">
        <v>1250</v>
      </c>
    </row>
    <row r="628" spans="1:3" x14ac:dyDescent="0.25">
      <c r="A628" s="1">
        <v>1446</v>
      </c>
      <c r="B628" s="1">
        <v>8460</v>
      </c>
      <c r="C628" s="1">
        <v>1250</v>
      </c>
    </row>
    <row r="629" spans="1:3" x14ac:dyDescent="0.25">
      <c r="A629" t="s">
        <v>15</v>
      </c>
      <c r="B629" s="1">
        <v>8539</v>
      </c>
      <c r="C629" s="1">
        <v>1250</v>
      </c>
    </row>
    <row r="630" spans="1:3" x14ac:dyDescent="0.25">
      <c r="A630" t="s">
        <v>14</v>
      </c>
      <c r="B630" s="1">
        <v>8579</v>
      </c>
      <c r="C630" s="1">
        <v>1250</v>
      </c>
    </row>
    <row r="631" spans="1:3" x14ac:dyDescent="0.25">
      <c r="A631" s="1">
        <v>-8464</v>
      </c>
      <c r="B631" s="1">
        <v>8584</v>
      </c>
      <c r="C631" s="1">
        <v>1250</v>
      </c>
    </row>
    <row r="632" spans="1:3" x14ac:dyDescent="0.25">
      <c r="A632" s="1">
        <v>-9600</v>
      </c>
      <c r="B632" s="1">
        <v>9600</v>
      </c>
      <c r="C632" s="1">
        <v>1250</v>
      </c>
    </row>
    <row r="633" spans="1:3" x14ac:dyDescent="0.25">
      <c r="A633" s="1">
        <v>-9600</v>
      </c>
      <c r="B633" s="1">
        <v>-9600</v>
      </c>
      <c r="C633" s="1">
        <v>1250</v>
      </c>
    </row>
    <row r="634" spans="1:3" x14ac:dyDescent="0.25">
      <c r="A634" t="s">
        <v>30</v>
      </c>
      <c r="B634" s="1">
        <v>-9599</v>
      </c>
      <c r="C634" s="1">
        <v>1250</v>
      </c>
    </row>
    <row r="635" spans="1:3" x14ac:dyDescent="0.25">
      <c r="A635" t="s">
        <v>16</v>
      </c>
      <c r="B635" s="1">
        <v>-9577</v>
      </c>
      <c r="C635" s="1">
        <v>1250</v>
      </c>
    </row>
    <row r="636" spans="1:3" x14ac:dyDescent="0.25">
      <c r="A636" s="1">
        <v>1307</v>
      </c>
      <c r="B636" s="1">
        <v>-9510</v>
      </c>
      <c r="C636" s="1">
        <v>1250</v>
      </c>
    </row>
    <row r="637" spans="1:3" x14ac:dyDescent="0.25">
      <c r="A637" s="1">
        <v>1953</v>
      </c>
      <c r="B637" s="1">
        <v>-9399</v>
      </c>
      <c r="C637" s="1">
        <v>1250</v>
      </c>
    </row>
    <row r="638" spans="1:3" x14ac:dyDescent="0.25">
      <c r="A638" s="1">
        <v>2590</v>
      </c>
      <c r="B638" s="1">
        <v>-9244</v>
      </c>
      <c r="C638" s="1">
        <v>1250</v>
      </c>
    </row>
    <row r="639" spans="1:3" x14ac:dyDescent="0.25">
      <c r="A639" s="1">
        <v>3217</v>
      </c>
      <c r="B639" s="1">
        <v>-9045</v>
      </c>
      <c r="C639" s="1">
        <v>1250</v>
      </c>
    </row>
    <row r="640" spans="1:3" x14ac:dyDescent="0.25">
      <c r="A640" s="1">
        <v>4123</v>
      </c>
      <c r="B640" s="1">
        <v>-8670</v>
      </c>
      <c r="C640" s="1">
        <v>1250</v>
      </c>
    </row>
    <row r="641" spans="1:3" x14ac:dyDescent="0.25">
      <c r="A641" s="1">
        <v>4702</v>
      </c>
      <c r="B641" s="1">
        <v>-8369</v>
      </c>
      <c r="C641" s="1">
        <v>1250</v>
      </c>
    </row>
    <row r="642" spans="1:3" x14ac:dyDescent="0.25">
      <c r="A642" s="1">
        <v>5539</v>
      </c>
      <c r="B642" s="1">
        <v>-7841</v>
      </c>
      <c r="C642" s="1">
        <v>1250</v>
      </c>
    </row>
    <row r="643" spans="1:3" x14ac:dyDescent="0.25">
      <c r="A643" s="1">
        <v>6058</v>
      </c>
      <c r="B643" s="1">
        <v>-7447</v>
      </c>
      <c r="C643" s="1">
        <v>1250</v>
      </c>
    </row>
    <row r="644" spans="1:3" x14ac:dyDescent="0.25">
      <c r="A644" s="1">
        <v>6552</v>
      </c>
      <c r="B644" s="1">
        <v>-7016</v>
      </c>
      <c r="C644" s="1">
        <v>1250</v>
      </c>
    </row>
    <row r="645" spans="1:3" x14ac:dyDescent="0.25">
      <c r="A645" s="1">
        <v>7016</v>
      </c>
      <c r="B645" s="1">
        <v>-6552</v>
      </c>
      <c r="C645" s="1">
        <v>1250</v>
      </c>
    </row>
    <row r="646" spans="1:3" x14ac:dyDescent="0.25">
      <c r="A646" s="1">
        <v>7447</v>
      </c>
      <c r="B646" s="1">
        <v>-6058</v>
      </c>
      <c r="C646" s="1">
        <v>1250</v>
      </c>
    </row>
    <row r="647" spans="1:3" x14ac:dyDescent="0.25">
      <c r="A647" s="1">
        <v>7843</v>
      </c>
      <c r="B647" s="1">
        <v>-5536</v>
      </c>
      <c r="C647" s="1">
        <v>1250</v>
      </c>
    </row>
    <row r="648" spans="1:3" x14ac:dyDescent="0.25">
      <c r="A648" s="1">
        <v>8202</v>
      </c>
      <c r="B648" s="1">
        <v>-4988</v>
      </c>
      <c r="C648" s="1">
        <v>1250</v>
      </c>
    </row>
    <row r="649" spans="1:3" x14ac:dyDescent="0.25">
      <c r="A649" s="1">
        <v>8523</v>
      </c>
      <c r="B649" s="1">
        <v>-4417</v>
      </c>
      <c r="C649" s="1">
        <v>1250</v>
      </c>
    </row>
    <row r="650" spans="1:3" x14ac:dyDescent="0.25">
      <c r="A650" s="1">
        <v>8804</v>
      </c>
      <c r="B650" s="1">
        <v>-3828</v>
      </c>
      <c r="C650" s="1">
        <v>1250</v>
      </c>
    </row>
    <row r="651" spans="1:3" x14ac:dyDescent="0.25">
      <c r="A651" s="1">
        <v>9151</v>
      </c>
      <c r="B651" s="1">
        <v>-2901</v>
      </c>
      <c r="C651" s="1">
        <v>1250</v>
      </c>
    </row>
    <row r="652" spans="1:3" x14ac:dyDescent="0.25">
      <c r="A652" s="1">
        <v>9327</v>
      </c>
      <c r="B652" s="1">
        <v>-2273</v>
      </c>
      <c r="C652" s="1">
        <v>1250</v>
      </c>
    </row>
    <row r="653" spans="1:3" x14ac:dyDescent="0.25">
      <c r="A653" s="1">
        <v>9460</v>
      </c>
      <c r="B653" s="1">
        <v>-1631</v>
      </c>
      <c r="C653" s="1">
        <v>1250</v>
      </c>
    </row>
    <row r="654" spans="1:3" x14ac:dyDescent="0.25">
      <c r="A654" s="1">
        <v>9549</v>
      </c>
      <c r="B654">
        <f>0.982</f>
        <v>0.98199999999999998</v>
      </c>
      <c r="C654" s="1">
        <v>1250</v>
      </c>
    </row>
    <row r="655" spans="1:3" x14ac:dyDescent="0.25">
      <c r="A655" s="1">
        <v>9594</v>
      </c>
      <c r="B655">
        <f>0.328</f>
        <v>0.32800000000000001</v>
      </c>
      <c r="C655" s="1">
        <v>1250</v>
      </c>
    </row>
    <row r="656" spans="1:3" x14ac:dyDescent="0.25">
      <c r="A656" s="1">
        <v>9594</v>
      </c>
      <c r="B656">
        <v>0.32800000000000001</v>
      </c>
      <c r="C656" s="1">
        <v>1250</v>
      </c>
    </row>
    <row r="657" spans="1:3" x14ac:dyDescent="0.25">
      <c r="A657" s="1">
        <v>9549</v>
      </c>
      <c r="B657">
        <v>0.98199999999999998</v>
      </c>
      <c r="C657" s="1">
        <v>1250</v>
      </c>
    </row>
    <row r="658" spans="1:3" x14ac:dyDescent="0.25">
      <c r="A658" s="1">
        <v>9460</v>
      </c>
      <c r="B658" s="1">
        <v>1631</v>
      </c>
      <c r="C658" s="1">
        <v>1250</v>
      </c>
    </row>
    <row r="659" spans="1:3" x14ac:dyDescent="0.25">
      <c r="A659" s="1">
        <v>9328</v>
      </c>
      <c r="B659" s="1">
        <v>2270</v>
      </c>
      <c r="C659" s="1">
        <v>1250</v>
      </c>
    </row>
    <row r="660" spans="1:3" x14ac:dyDescent="0.25">
      <c r="A660" s="1">
        <v>9044</v>
      </c>
      <c r="B660" s="1">
        <v>3218</v>
      </c>
      <c r="C660" s="1">
        <v>1250</v>
      </c>
    </row>
    <row r="661" spans="1:3" x14ac:dyDescent="0.25">
      <c r="A661" s="1">
        <v>8805</v>
      </c>
      <c r="B661" s="1">
        <v>3825</v>
      </c>
      <c r="C661" s="1">
        <v>1250</v>
      </c>
    </row>
    <row r="662" spans="1:3" x14ac:dyDescent="0.25">
      <c r="A662" s="1">
        <v>8525</v>
      </c>
      <c r="B662" s="1">
        <v>4413</v>
      </c>
      <c r="C662" s="1">
        <v>1250</v>
      </c>
    </row>
    <row r="663" spans="1:3" x14ac:dyDescent="0.25">
      <c r="A663" s="1">
        <v>8027</v>
      </c>
      <c r="B663" s="1">
        <v>5265</v>
      </c>
      <c r="C663" s="1">
        <v>1250</v>
      </c>
    </row>
    <row r="664" spans="1:3" x14ac:dyDescent="0.25">
      <c r="A664" s="1">
        <v>7446</v>
      </c>
      <c r="B664" s="1">
        <v>6058</v>
      </c>
      <c r="C664" s="1">
        <v>1250</v>
      </c>
    </row>
    <row r="665" spans="1:3" x14ac:dyDescent="0.25">
      <c r="A665" s="1">
        <v>6788</v>
      </c>
      <c r="B665" s="1">
        <v>6788</v>
      </c>
      <c r="C665" s="1">
        <v>1250</v>
      </c>
    </row>
    <row r="666" spans="1:3" x14ac:dyDescent="0.25">
      <c r="A666" s="1">
        <v>6058</v>
      </c>
      <c r="B666" s="1">
        <v>7446</v>
      </c>
      <c r="C666" s="1">
        <v>1250</v>
      </c>
    </row>
    <row r="667" spans="1:3" x14ac:dyDescent="0.25">
      <c r="A667" s="1">
        <v>5265</v>
      </c>
      <c r="B667" s="1">
        <v>8027</v>
      </c>
      <c r="C667" s="1">
        <v>1250</v>
      </c>
    </row>
    <row r="668" spans="1:3" x14ac:dyDescent="0.25">
      <c r="A668" s="1">
        <v>4416</v>
      </c>
      <c r="B668" s="1">
        <v>8523</v>
      </c>
      <c r="C668" s="1">
        <v>1250</v>
      </c>
    </row>
    <row r="669" spans="1:3" x14ac:dyDescent="0.25">
      <c r="A669" s="1">
        <v>3522</v>
      </c>
      <c r="B669" s="1">
        <v>8930</v>
      </c>
      <c r="C669" s="1">
        <v>1250</v>
      </c>
    </row>
    <row r="670" spans="1:3" x14ac:dyDescent="0.25">
      <c r="A670" s="1">
        <v>2590</v>
      </c>
      <c r="B670" s="1">
        <v>9243</v>
      </c>
      <c r="C670" s="1">
        <v>1250</v>
      </c>
    </row>
    <row r="671" spans="1:3" x14ac:dyDescent="0.25">
      <c r="A671" s="1">
        <v>1628</v>
      </c>
      <c r="B671" s="1">
        <v>9461</v>
      </c>
      <c r="C671" s="1">
        <v>1250</v>
      </c>
    </row>
    <row r="672" spans="1:3" x14ac:dyDescent="0.25">
      <c r="A672" t="s">
        <v>18</v>
      </c>
      <c r="B672" s="1">
        <v>9549</v>
      </c>
      <c r="C672" s="1">
        <v>1250</v>
      </c>
    </row>
    <row r="673" spans="1:3" x14ac:dyDescent="0.25">
      <c r="A673" t="s">
        <v>17</v>
      </c>
      <c r="B673" s="1">
        <v>9594</v>
      </c>
      <c r="C673" s="1">
        <v>1250</v>
      </c>
    </row>
    <row r="674" spans="1:3" x14ac:dyDescent="0.25">
      <c r="A674" s="1">
        <v>-9480</v>
      </c>
      <c r="B674" s="1">
        <v>9600</v>
      </c>
      <c r="C674" s="1">
        <v>1250</v>
      </c>
    </row>
    <row r="675" spans="1:3" x14ac:dyDescent="0.25">
      <c r="A675" s="1">
        <v>-9201</v>
      </c>
      <c r="B675" s="1">
        <v>8906</v>
      </c>
      <c r="C675" s="1">
        <v>1250</v>
      </c>
    </row>
    <row r="676" spans="1:3" x14ac:dyDescent="0.25">
      <c r="A676" s="1">
        <v>-1765</v>
      </c>
      <c r="B676" s="1">
        <v>6588</v>
      </c>
      <c r="C676" s="1">
        <v>1250</v>
      </c>
    </row>
    <row r="677" spans="1:3" x14ac:dyDescent="0.25">
      <c r="A677" s="1">
        <v>1712</v>
      </c>
      <c r="B677" s="1">
        <v>-6391</v>
      </c>
      <c r="C677" s="1">
        <v>1250</v>
      </c>
    </row>
    <row r="678" spans="1:3" x14ac:dyDescent="0.25">
      <c r="A678" s="1">
        <v>3522</v>
      </c>
      <c r="B678" s="1">
        <v>3522</v>
      </c>
      <c r="C678" s="1">
        <v>1250</v>
      </c>
    </row>
    <row r="679" spans="1:3" x14ac:dyDescent="0.25">
      <c r="A679" s="1">
        <v>3920</v>
      </c>
      <c r="B679" s="1">
        <v>3081</v>
      </c>
      <c r="C679" s="1">
        <v>1250</v>
      </c>
    </row>
    <row r="680" spans="1:3" x14ac:dyDescent="0.25">
      <c r="A680" s="1">
        <v>4270</v>
      </c>
      <c r="B680" s="1">
        <v>2602</v>
      </c>
      <c r="C680" s="1">
        <v>1250</v>
      </c>
    </row>
    <row r="681" spans="1:3" x14ac:dyDescent="0.25">
      <c r="A681" s="1">
        <v>4588</v>
      </c>
      <c r="B681" s="1">
        <v>2059</v>
      </c>
      <c r="C681" s="1">
        <v>1250</v>
      </c>
    </row>
    <row r="682" spans="1:3" x14ac:dyDescent="0.25">
      <c r="A682" s="1">
        <v>4743</v>
      </c>
      <c r="B682" s="1">
        <v>1733</v>
      </c>
      <c r="C682" s="1">
        <v>1250</v>
      </c>
    </row>
    <row r="683" spans="1:3" x14ac:dyDescent="0.25">
      <c r="A683" s="1">
        <v>4875</v>
      </c>
      <c r="B683" s="1">
        <v>1398</v>
      </c>
      <c r="C683" s="1">
        <v>1250</v>
      </c>
    </row>
    <row r="684" spans="1:3" x14ac:dyDescent="0.25">
      <c r="A684" s="1">
        <v>5065</v>
      </c>
      <c r="B684">
        <v>0.76100000000000001</v>
      </c>
      <c r="C684" s="1">
        <v>1250</v>
      </c>
    </row>
    <row r="685" spans="1:3" x14ac:dyDescent="0.25">
      <c r="A685" s="1">
        <v>5139</v>
      </c>
      <c r="B685">
        <v>0.40799999999999997</v>
      </c>
      <c r="C685" s="1">
        <v>1250</v>
      </c>
    </row>
    <row r="686" spans="1:3" x14ac:dyDescent="0.25">
      <c r="A686" s="1">
        <v>5193</v>
      </c>
      <c r="B686">
        <v>1.4999999999999999E-2</v>
      </c>
      <c r="C686" s="1">
        <v>1250</v>
      </c>
    </row>
    <row r="687" spans="1:3" x14ac:dyDescent="0.25">
      <c r="A687" s="1">
        <v>5220</v>
      </c>
      <c r="B687">
        <f>0.38</f>
        <v>0.38</v>
      </c>
      <c r="C687" s="1">
        <v>1250</v>
      </c>
    </row>
    <row r="688" spans="1:3" x14ac:dyDescent="0.25">
      <c r="A688" s="1">
        <v>5220</v>
      </c>
      <c r="B688">
        <f>0.776</f>
        <v>0.77600000000000002</v>
      </c>
      <c r="C688" s="1">
        <v>1250</v>
      </c>
    </row>
    <row r="689" spans="1:3" x14ac:dyDescent="0.25">
      <c r="A689" s="1">
        <v>5193</v>
      </c>
      <c r="B689" s="1">
        <v>-1171</v>
      </c>
      <c r="C689" s="1">
        <v>1250</v>
      </c>
    </row>
    <row r="690" spans="1:3" x14ac:dyDescent="0.25">
      <c r="A690" s="1">
        <v>5139</v>
      </c>
      <c r="B690" s="1">
        <v>-1563</v>
      </c>
      <c r="C690" s="1">
        <v>1250</v>
      </c>
    </row>
    <row r="691" spans="1:3" x14ac:dyDescent="0.25">
      <c r="A691" s="1">
        <v>5058</v>
      </c>
      <c r="B691" s="1">
        <v>-1951</v>
      </c>
      <c r="C691" s="1">
        <v>1250</v>
      </c>
    </row>
    <row r="692" spans="1:3" x14ac:dyDescent="0.25">
      <c r="A692" s="1">
        <v>4961</v>
      </c>
      <c r="B692" s="1">
        <v>-2298</v>
      </c>
      <c r="C692" s="1">
        <v>1250</v>
      </c>
    </row>
    <row r="693" spans="1:3" x14ac:dyDescent="0.25">
      <c r="A693" s="1">
        <v>4727</v>
      </c>
      <c r="B693" s="1">
        <v>-2921</v>
      </c>
      <c r="C693" s="1">
        <v>1250</v>
      </c>
    </row>
    <row r="694" spans="1:3" x14ac:dyDescent="0.25">
      <c r="A694" s="1">
        <v>4573</v>
      </c>
      <c r="B694" s="1">
        <v>-3246</v>
      </c>
      <c r="C694" s="1">
        <v>1250</v>
      </c>
    </row>
    <row r="695" spans="1:3" x14ac:dyDescent="0.25">
      <c r="A695" s="1">
        <v>4379</v>
      </c>
      <c r="B695" s="1">
        <v>-3592</v>
      </c>
      <c r="C695" s="1">
        <v>1250</v>
      </c>
    </row>
    <row r="696" spans="1:3" x14ac:dyDescent="0.25">
      <c r="A696" s="1">
        <v>4161</v>
      </c>
      <c r="B696" s="1">
        <v>-3923</v>
      </c>
      <c r="C696" s="1">
        <v>1250</v>
      </c>
    </row>
    <row r="697" spans="1:3" x14ac:dyDescent="0.25">
      <c r="A697" s="1">
        <v>3922</v>
      </c>
      <c r="B697" s="1">
        <v>-4239</v>
      </c>
      <c r="C697" s="1">
        <v>1250</v>
      </c>
    </row>
    <row r="698" spans="1:3" x14ac:dyDescent="0.25">
      <c r="A698" s="1">
        <v>3662</v>
      </c>
      <c r="B698" s="1">
        <v>-4537</v>
      </c>
      <c r="C698" s="1">
        <v>1250</v>
      </c>
    </row>
    <row r="699" spans="1:3" x14ac:dyDescent="0.25">
      <c r="A699" s="1">
        <v>3382</v>
      </c>
      <c r="B699" s="1">
        <v>-4817</v>
      </c>
      <c r="C699" s="1">
        <v>1250</v>
      </c>
    </row>
    <row r="700" spans="1:3" x14ac:dyDescent="0.25">
      <c r="A700" s="1">
        <v>3083</v>
      </c>
      <c r="B700" s="1">
        <v>-5077</v>
      </c>
      <c r="C700" s="1">
        <v>1250</v>
      </c>
    </row>
    <row r="701" spans="1:3" x14ac:dyDescent="0.25">
      <c r="A701" s="1">
        <v>2796</v>
      </c>
      <c r="B701" s="1">
        <v>-5295</v>
      </c>
      <c r="C701" s="1">
        <v>1250</v>
      </c>
    </row>
    <row r="702" spans="1:3" x14ac:dyDescent="0.25">
      <c r="A702" s="1">
        <v>2233</v>
      </c>
      <c r="B702" s="1">
        <v>-5651</v>
      </c>
      <c r="C702" s="1">
        <v>1250</v>
      </c>
    </row>
    <row r="703" spans="1:3" x14ac:dyDescent="0.25">
      <c r="A703" s="1">
        <v>1596</v>
      </c>
      <c r="B703" s="1">
        <v>-5955</v>
      </c>
      <c r="C703" s="1">
        <v>1250</v>
      </c>
    </row>
    <row r="704" spans="1:3" x14ac:dyDescent="0.25">
      <c r="A704" t="s">
        <v>32</v>
      </c>
      <c r="B704" s="1">
        <v>-6167</v>
      </c>
      <c r="C704" s="1">
        <v>1250</v>
      </c>
    </row>
    <row r="705" spans="1:3" x14ac:dyDescent="0.25">
      <c r="A705" t="s">
        <v>33</v>
      </c>
      <c r="B705" s="1">
        <v>-6257</v>
      </c>
      <c r="C705" s="1">
        <v>1250</v>
      </c>
    </row>
    <row r="706" spans="1:3" x14ac:dyDescent="0.25">
      <c r="A706" t="s">
        <v>34</v>
      </c>
      <c r="B706" s="1">
        <v>-6324</v>
      </c>
      <c r="C706" s="1">
        <v>1250</v>
      </c>
    </row>
    <row r="707" spans="1:3" x14ac:dyDescent="0.25">
      <c r="A707" t="e" vm="2">
        <f>_FV(0,"186")</f>
        <v>#VALUE!</v>
      </c>
      <c r="B707" s="1">
        <v>-6365</v>
      </c>
      <c r="C707" s="1">
        <v>1250</v>
      </c>
    </row>
    <row r="708" spans="1:3" x14ac:dyDescent="0.25">
      <c r="A708" t="e" vm="3">
        <f>_FV(0,"579")</f>
        <v>#VALUE!</v>
      </c>
      <c r="B708" s="1">
        <v>-6380</v>
      </c>
      <c r="C708" s="1">
        <v>1250</v>
      </c>
    </row>
    <row r="709" spans="1:3" x14ac:dyDescent="0.25">
      <c r="A709" s="1">
        <v>-6380</v>
      </c>
      <c r="B709" s="1">
        <v>-6380</v>
      </c>
      <c r="C709" s="1">
        <v>1250</v>
      </c>
    </row>
    <row r="710" spans="1:3" x14ac:dyDescent="0.25">
      <c r="A710" s="1">
        <v>4677</v>
      </c>
      <c r="B710" s="1">
        <v>4677</v>
      </c>
      <c r="C710" s="1">
        <v>1250</v>
      </c>
    </row>
    <row r="711" spans="1:3" x14ac:dyDescent="0.25">
      <c r="A711" s="1">
        <v>4677</v>
      </c>
      <c r="B711" s="1">
        <v>4677</v>
      </c>
      <c r="C711" s="1">
        <v>1550</v>
      </c>
    </row>
    <row r="712" spans="1:3" x14ac:dyDescent="0.25">
      <c r="A712" s="1">
        <v>-7289</v>
      </c>
      <c r="B712" s="1">
        <v>7287</v>
      </c>
      <c r="C712" s="1">
        <v>1550</v>
      </c>
    </row>
    <row r="713" spans="1:3" x14ac:dyDescent="0.25">
      <c r="A713" s="1">
        <v>-7289</v>
      </c>
      <c r="B713" s="1">
        <v>-7288</v>
      </c>
      <c r="C713" s="1">
        <v>1550</v>
      </c>
    </row>
    <row r="714" spans="1:3" x14ac:dyDescent="0.25">
      <c r="A714" t="s">
        <v>35</v>
      </c>
      <c r="B714" s="1">
        <v>-7287</v>
      </c>
      <c r="C714" s="1">
        <v>1550</v>
      </c>
    </row>
    <row r="715" spans="1:3" x14ac:dyDescent="0.25">
      <c r="A715" t="s">
        <v>27</v>
      </c>
      <c r="B715" s="1">
        <v>-7271</v>
      </c>
      <c r="C715" s="1">
        <v>1550</v>
      </c>
    </row>
    <row r="716" spans="1:3" x14ac:dyDescent="0.25">
      <c r="A716" t="s">
        <v>11</v>
      </c>
      <c r="B716" s="1">
        <v>-7219</v>
      </c>
      <c r="C716" s="1">
        <v>1550</v>
      </c>
    </row>
    <row r="717" spans="1:3" x14ac:dyDescent="0.25">
      <c r="A717" s="1">
        <v>1483</v>
      </c>
      <c r="B717" s="1">
        <v>-7135</v>
      </c>
      <c r="C717" s="1">
        <v>1550</v>
      </c>
    </row>
    <row r="718" spans="1:3" x14ac:dyDescent="0.25">
      <c r="A718" s="1">
        <v>1966</v>
      </c>
      <c r="B718" s="1">
        <v>-7017</v>
      </c>
      <c r="C718" s="1">
        <v>1550</v>
      </c>
    </row>
    <row r="719" spans="1:3" x14ac:dyDescent="0.25">
      <c r="A719" s="1">
        <v>2453</v>
      </c>
      <c r="B719" s="1">
        <v>-6862</v>
      </c>
      <c r="C719" s="1">
        <v>1550</v>
      </c>
    </row>
    <row r="720" spans="1:3" x14ac:dyDescent="0.25">
      <c r="A720" s="1">
        <v>3126</v>
      </c>
      <c r="B720" s="1">
        <v>-6583</v>
      </c>
      <c r="C720" s="1">
        <v>1550</v>
      </c>
    </row>
    <row r="721" spans="1:3" x14ac:dyDescent="0.25">
      <c r="A721" s="1">
        <v>3551</v>
      </c>
      <c r="B721" s="1">
        <v>-6363</v>
      </c>
      <c r="C721" s="1">
        <v>1550</v>
      </c>
    </row>
    <row r="722" spans="1:3" x14ac:dyDescent="0.25">
      <c r="A722" s="1">
        <v>4221</v>
      </c>
      <c r="B722" s="1">
        <v>-5939</v>
      </c>
      <c r="C722" s="1">
        <v>1550</v>
      </c>
    </row>
    <row r="723" spans="1:3" x14ac:dyDescent="0.25">
      <c r="A723" s="1">
        <v>4599</v>
      </c>
      <c r="B723" s="1">
        <v>-5653</v>
      </c>
      <c r="C723" s="1">
        <v>1550</v>
      </c>
    </row>
    <row r="724" spans="1:3" x14ac:dyDescent="0.25">
      <c r="A724" s="1">
        <v>4974</v>
      </c>
      <c r="B724" s="1">
        <v>-5326</v>
      </c>
      <c r="C724" s="1">
        <v>1550</v>
      </c>
    </row>
    <row r="725" spans="1:3" x14ac:dyDescent="0.25">
      <c r="A725" s="1">
        <v>5326</v>
      </c>
      <c r="B725" s="1">
        <v>-4974</v>
      </c>
      <c r="C725" s="1">
        <v>1550</v>
      </c>
    </row>
    <row r="726" spans="1:3" x14ac:dyDescent="0.25">
      <c r="A726" s="1">
        <v>5653</v>
      </c>
      <c r="B726" s="1">
        <v>-4599</v>
      </c>
      <c r="C726" s="1">
        <v>1550</v>
      </c>
    </row>
    <row r="727" spans="1:3" x14ac:dyDescent="0.25">
      <c r="A727" s="1">
        <v>5953</v>
      </c>
      <c r="B727" s="1">
        <v>-4202</v>
      </c>
      <c r="C727" s="1">
        <v>1550</v>
      </c>
    </row>
    <row r="728" spans="1:3" x14ac:dyDescent="0.25">
      <c r="A728" s="1">
        <v>6226</v>
      </c>
      <c r="B728" s="1">
        <v>-3786</v>
      </c>
      <c r="C728" s="1">
        <v>1550</v>
      </c>
    </row>
    <row r="729" spans="1:3" x14ac:dyDescent="0.25">
      <c r="A729" s="1">
        <v>6470</v>
      </c>
      <c r="B729" s="1">
        <v>-3353</v>
      </c>
      <c r="C729" s="1">
        <v>1550</v>
      </c>
    </row>
    <row r="730" spans="1:3" x14ac:dyDescent="0.25">
      <c r="A730" s="1">
        <v>6684</v>
      </c>
      <c r="B730" s="1">
        <v>-2903</v>
      </c>
      <c r="C730" s="1">
        <v>1550</v>
      </c>
    </row>
    <row r="731" spans="1:3" x14ac:dyDescent="0.25">
      <c r="A731" s="1">
        <v>6871</v>
      </c>
      <c r="B731" s="1">
        <v>-2428</v>
      </c>
      <c r="C731" s="1">
        <v>1550</v>
      </c>
    </row>
    <row r="732" spans="1:3" x14ac:dyDescent="0.25">
      <c r="A732" s="1">
        <v>7079</v>
      </c>
      <c r="B732" s="1">
        <v>-1729</v>
      </c>
      <c r="C732" s="1">
        <v>1550</v>
      </c>
    </row>
    <row r="733" spans="1:3" x14ac:dyDescent="0.25">
      <c r="A733" s="1">
        <v>7181</v>
      </c>
      <c r="B733" s="1">
        <v>-1238</v>
      </c>
      <c r="C733" s="1">
        <v>1550</v>
      </c>
    </row>
    <row r="734" spans="1:3" x14ac:dyDescent="0.25">
      <c r="A734" s="1">
        <v>7249</v>
      </c>
      <c r="B734">
        <f>0.745</f>
        <v>0.745</v>
      </c>
      <c r="C734" s="1">
        <v>1550</v>
      </c>
    </row>
    <row r="735" spans="1:3" x14ac:dyDescent="0.25">
      <c r="A735" s="1">
        <v>7283</v>
      </c>
      <c r="B735">
        <f>0.249</f>
        <v>0.249</v>
      </c>
      <c r="C735" s="1">
        <v>1550</v>
      </c>
    </row>
    <row r="736" spans="1:3" x14ac:dyDescent="0.25">
      <c r="A736" s="1">
        <v>7283</v>
      </c>
      <c r="B736">
        <v>0.249</v>
      </c>
      <c r="C736" s="1">
        <v>1550</v>
      </c>
    </row>
    <row r="737" spans="1:3" x14ac:dyDescent="0.25">
      <c r="A737" s="1">
        <v>7249</v>
      </c>
      <c r="B737">
        <v>0.745</v>
      </c>
      <c r="C737" s="1">
        <v>1550</v>
      </c>
    </row>
    <row r="738" spans="1:3" x14ac:dyDescent="0.25">
      <c r="A738" s="1">
        <v>7181</v>
      </c>
      <c r="B738" s="1">
        <v>1238</v>
      </c>
      <c r="C738" s="1">
        <v>1550</v>
      </c>
    </row>
    <row r="739" spans="1:3" x14ac:dyDescent="0.25">
      <c r="A739" s="1">
        <v>7085</v>
      </c>
      <c r="B739" s="1">
        <v>1703</v>
      </c>
      <c r="C739" s="1">
        <v>1550</v>
      </c>
    </row>
    <row r="740" spans="1:3" x14ac:dyDescent="0.25">
      <c r="A740" s="1">
        <v>6858</v>
      </c>
      <c r="B740" s="1">
        <v>2462</v>
      </c>
      <c r="C740" s="1">
        <v>1550</v>
      </c>
    </row>
    <row r="741" spans="1:3" x14ac:dyDescent="0.25">
      <c r="A741" s="1">
        <v>6684</v>
      </c>
      <c r="B741" s="1">
        <v>2903</v>
      </c>
      <c r="C741" s="1">
        <v>1550</v>
      </c>
    </row>
    <row r="742" spans="1:3" x14ac:dyDescent="0.25">
      <c r="A742" s="1">
        <v>6480</v>
      </c>
      <c r="B742" s="1">
        <v>3332</v>
      </c>
      <c r="C742" s="1">
        <v>1550</v>
      </c>
    </row>
    <row r="743" spans="1:3" x14ac:dyDescent="0.25">
      <c r="A743" s="1">
        <v>6092</v>
      </c>
      <c r="B743" s="1">
        <v>3996</v>
      </c>
      <c r="C743" s="1">
        <v>1550</v>
      </c>
    </row>
    <row r="744" spans="1:3" x14ac:dyDescent="0.25">
      <c r="A744" s="1">
        <v>5651</v>
      </c>
      <c r="B744" s="1">
        <v>4598</v>
      </c>
      <c r="C744" s="1">
        <v>1550</v>
      </c>
    </row>
    <row r="745" spans="1:3" x14ac:dyDescent="0.25">
      <c r="A745" s="1">
        <v>5151</v>
      </c>
      <c r="B745" s="1">
        <v>5151</v>
      </c>
      <c r="C745" s="1">
        <v>1550</v>
      </c>
    </row>
    <row r="746" spans="1:3" x14ac:dyDescent="0.25">
      <c r="A746" s="1">
        <v>4598</v>
      </c>
      <c r="B746" s="1">
        <v>5651</v>
      </c>
      <c r="C746" s="1">
        <v>1550</v>
      </c>
    </row>
    <row r="747" spans="1:3" x14ac:dyDescent="0.25">
      <c r="A747" s="1">
        <v>3996</v>
      </c>
      <c r="B747" s="1">
        <v>6092</v>
      </c>
      <c r="C747" s="1">
        <v>1550</v>
      </c>
    </row>
    <row r="748" spans="1:3" x14ac:dyDescent="0.25">
      <c r="A748" s="1">
        <v>3352</v>
      </c>
      <c r="B748" s="1">
        <v>6468</v>
      </c>
      <c r="C748" s="1">
        <v>1550</v>
      </c>
    </row>
    <row r="749" spans="1:3" x14ac:dyDescent="0.25">
      <c r="A749" s="1">
        <v>2673</v>
      </c>
      <c r="B749" s="1">
        <v>6777</v>
      </c>
      <c r="C749" s="1">
        <v>1550</v>
      </c>
    </row>
    <row r="750" spans="1:3" x14ac:dyDescent="0.25">
      <c r="A750" s="1">
        <v>1944</v>
      </c>
      <c r="B750" s="1">
        <v>7022</v>
      </c>
      <c r="C750" s="1">
        <v>1550</v>
      </c>
    </row>
    <row r="751" spans="1:3" x14ac:dyDescent="0.25">
      <c r="A751" s="1">
        <v>1180</v>
      </c>
      <c r="B751" s="1">
        <v>7191</v>
      </c>
      <c r="C751" s="1">
        <v>1550</v>
      </c>
    </row>
    <row r="752" spans="1:3" x14ac:dyDescent="0.25">
      <c r="A752" t="s">
        <v>36</v>
      </c>
      <c r="B752" s="1">
        <v>7249</v>
      </c>
      <c r="C752" s="1">
        <v>1550</v>
      </c>
    </row>
    <row r="753" spans="1:3" x14ac:dyDescent="0.25">
      <c r="A753" t="s">
        <v>13</v>
      </c>
      <c r="B753" s="1">
        <v>7283</v>
      </c>
      <c r="C753" s="1">
        <v>1550</v>
      </c>
    </row>
    <row r="754" spans="1:3" x14ac:dyDescent="0.25">
      <c r="A754" s="1">
        <v>-7169</v>
      </c>
      <c r="B754" s="1">
        <v>7287</v>
      </c>
      <c r="C754" s="1">
        <v>1550</v>
      </c>
    </row>
    <row r="755" spans="1:3" x14ac:dyDescent="0.25">
      <c r="A755" s="1">
        <v>-8584</v>
      </c>
      <c r="B755" s="1">
        <v>8584</v>
      </c>
      <c r="C755" s="1">
        <v>1550</v>
      </c>
    </row>
    <row r="756" spans="1:3" x14ac:dyDescent="0.25">
      <c r="A756" s="1">
        <v>-8584</v>
      </c>
      <c r="B756" s="1">
        <v>-8584</v>
      </c>
      <c r="C756" s="1">
        <v>1550</v>
      </c>
    </row>
    <row r="757" spans="1:3" x14ac:dyDescent="0.25">
      <c r="A757" t="s">
        <v>37</v>
      </c>
      <c r="B757" s="1">
        <v>-8583</v>
      </c>
      <c r="C757" s="1">
        <v>1550</v>
      </c>
    </row>
    <row r="758" spans="1:3" x14ac:dyDescent="0.25">
      <c r="A758" t="s">
        <v>29</v>
      </c>
      <c r="B758" s="1">
        <v>-8564</v>
      </c>
      <c r="C758" s="1">
        <v>1550</v>
      </c>
    </row>
    <row r="759" spans="1:3" x14ac:dyDescent="0.25">
      <c r="A759" s="1">
        <v>1169</v>
      </c>
      <c r="B759" s="1">
        <v>-8504</v>
      </c>
      <c r="C759" s="1">
        <v>1550</v>
      </c>
    </row>
    <row r="760" spans="1:3" x14ac:dyDescent="0.25">
      <c r="A760" s="1">
        <v>1746</v>
      </c>
      <c r="B760" s="1">
        <v>-8404</v>
      </c>
      <c r="C760" s="1">
        <v>1550</v>
      </c>
    </row>
    <row r="761" spans="1:3" x14ac:dyDescent="0.25">
      <c r="A761" s="1">
        <v>2316</v>
      </c>
      <c r="B761" s="1">
        <v>-8265</v>
      </c>
      <c r="C761" s="1">
        <v>1550</v>
      </c>
    </row>
    <row r="762" spans="1:3" x14ac:dyDescent="0.25">
      <c r="A762" s="1">
        <v>2881</v>
      </c>
      <c r="B762" s="1">
        <v>-8086</v>
      </c>
      <c r="C762" s="1">
        <v>1550</v>
      </c>
    </row>
    <row r="763" spans="1:3" x14ac:dyDescent="0.25">
      <c r="A763" s="1">
        <v>3685</v>
      </c>
      <c r="B763" s="1">
        <v>-7752</v>
      </c>
      <c r="C763" s="1">
        <v>1550</v>
      </c>
    </row>
    <row r="764" spans="1:3" x14ac:dyDescent="0.25">
      <c r="A764" s="1">
        <v>4196</v>
      </c>
      <c r="B764" s="1">
        <v>-7488</v>
      </c>
      <c r="C764" s="1">
        <v>1550</v>
      </c>
    </row>
    <row r="765" spans="1:3" x14ac:dyDescent="0.25">
      <c r="A765" s="1">
        <v>4960</v>
      </c>
      <c r="B765" s="1">
        <v>-7005</v>
      </c>
      <c r="C765" s="1">
        <v>1550</v>
      </c>
    </row>
    <row r="766" spans="1:3" x14ac:dyDescent="0.25">
      <c r="A766" s="1">
        <v>5417</v>
      </c>
      <c r="B766" s="1">
        <v>-6658</v>
      </c>
      <c r="C766" s="1">
        <v>1550</v>
      </c>
    </row>
    <row r="767" spans="1:3" x14ac:dyDescent="0.25">
      <c r="A767" s="1">
        <v>5859</v>
      </c>
      <c r="B767" s="1">
        <v>-6273</v>
      </c>
      <c r="C767" s="1">
        <v>1550</v>
      </c>
    </row>
    <row r="768" spans="1:3" x14ac:dyDescent="0.25">
      <c r="A768" s="1">
        <v>6273</v>
      </c>
      <c r="B768" s="1">
        <v>-5859</v>
      </c>
      <c r="C768" s="1">
        <v>1550</v>
      </c>
    </row>
    <row r="769" spans="1:3" x14ac:dyDescent="0.25">
      <c r="A769" s="1">
        <v>6658</v>
      </c>
      <c r="B769" s="1">
        <v>-5417</v>
      </c>
      <c r="C769" s="1">
        <v>1550</v>
      </c>
    </row>
    <row r="770" spans="1:3" x14ac:dyDescent="0.25">
      <c r="A770" s="1">
        <v>7013</v>
      </c>
      <c r="B770" s="1">
        <v>-4950</v>
      </c>
      <c r="C770" s="1">
        <v>1550</v>
      </c>
    </row>
    <row r="771" spans="1:3" x14ac:dyDescent="0.25">
      <c r="A771" s="1">
        <v>7334</v>
      </c>
      <c r="B771" s="1">
        <v>-4460</v>
      </c>
      <c r="C771" s="1">
        <v>1550</v>
      </c>
    </row>
    <row r="772" spans="1:3" x14ac:dyDescent="0.25">
      <c r="A772" s="1">
        <v>7621</v>
      </c>
      <c r="B772" s="1">
        <v>-3949</v>
      </c>
      <c r="C772" s="1">
        <v>1550</v>
      </c>
    </row>
    <row r="773" spans="1:3" x14ac:dyDescent="0.25">
      <c r="A773" s="1">
        <v>7873</v>
      </c>
      <c r="B773" s="1">
        <v>-3420</v>
      </c>
      <c r="C773" s="1">
        <v>1550</v>
      </c>
    </row>
    <row r="774" spans="1:3" x14ac:dyDescent="0.25">
      <c r="A774" s="1">
        <v>8090</v>
      </c>
      <c r="B774" s="1">
        <v>-2868</v>
      </c>
      <c r="C774" s="1">
        <v>1550</v>
      </c>
    </row>
    <row r="775" spans="1:3" x14ac:dyDescent="0.25">
      <c r="A775" s="1">
        <v>8339</v>
      </c>
      <c r="B775" s="1">
        <v>-2034</v>
      </c>
      <c r="C775" s="1">
        <v>1550</v>
      </c>
    </row>
    <row r="776" spans="1:3" x14ac:dyDescent="0.25">
      <c r="A776" s="1">
        <v>8459</v>
      </c>
      <c r="B776" s="1">
        <v>-1458</v>
      </c>
      <c r="C776" s="1">
        <v>1550</v>
      </c>
    </row>
    <row r="777" spans="1:3" x14ac:dyDescent="0.25">
      <c r="A777" s="1">
        <v>8539</v>
      </c>
      <c r="B777">
        <f>0.878</f>
        <v>0.878</v>
      </c>
      <c r="C777" s="1">
        <v>1550</v>
      </c>
    </row>
    <row r="778" spans="1:3" x14ac:dyDescent="0.25">
      <c r="A778" s="1">
        <v>8579</v>
      </c>
      <c r="B778">
        <f>0.293</f>
        <v>0.29299999999999998</v>
      </c>
      <c r="C778" s="1">
        <v>1550</v>
      </c>
    </row>
    <row r="779" spans="1:3" x14ac:dyDescent="0.25">
      <c r="A779" s="1">
        <v>8579</v>
      </c>
      <c r="B779">
        <v>0.29299999999999998</v>
      </c>
      <c r="C779" s="1">
        <v>1550</v>
      </c>
    </row>
    <row r="780" spans="1:3" x14ac:dyDescent="0.25">
      <c r="A780" s="1">
        <v>8539</v>
      </c>
      <c r="B780">
        <v>0.878</v>
      </c>
      <c r="C780" s="1">
        <v>1550</v>
      </c>
    </row>
    <row r="781" spans="1:3" x14ac:dyDescent="0.25">
      <c r="A781" s="1">
        <v>8459</v>
      </c>
      <c r="B781" s="1">
        <v>1458</v>
      </c>
      <c r="C781" s="1">
        <v>1550</v>
      </c>
    </row>
    <row r="782" spans="1:3" x14ac:dyDescent="0.25">
      <c r="A782" s="1">
        <v>8342</v>
      </c>
      <c r="B782" s="1">
        <v>2020</v>
      </c>
      <c r="C782" s="1">
        <v>1550</v>
      </c>
    </row>
    <row r="783" spans="1:3" x14ac:dyDescent="0.25">
      <c r="A783" s="1">
        <v>8084</v>
      </c>
      <c r="B783" s="1">
        <v>2886</v>
      </c>
      <c r="C783" s="1">
        <v>1550</v>
      </c>
    </row>
    <row r="784" spans="1:3" x14ac:dyDescent="0.25">
      <c r="A784" s="1">
        <v>7873</v>
      </c>
      <c r="B784" s="1">
        <v>3420</v>
      </c>
      <c r="C784" s="1">
        <v>1550</v>
      </c>
    </row>
    <row r="785" spans="1:3" x14ac:dyDescent="0.25">
      <c r="A785" s="1">
        <v>7626</v>
      </c>
      <c r="B785" s="1">
        <v>3938</v>
      </c>
      <c r="C785" s="1">
        <v>1550</v>
      </c>
    </row>
    <row r="786" spans="1:3" x14ac:dyDescent="0.25">
      <c r="A786" s="1">
        <v>7177</v>
      </c>
      <c r="B786" s="1">
        <v>4707</v>
      </c>
      <c r="C786" s="1">
        <v>1550</v>
      </c>
    </row>
    <row r="787" spans="1:3" x14ac:dyDescent="0.25">
      <c r="A787" s="1">
        <v>6658</v>
      </c>
      <c r="B787" s="1">
        <v>5416</v>
      </c>
      <c r="C787" s="1">
        <v>1550</v>
      </c>
    </row>
    <row r="788" spans="1:3" x14ac:dyDescent="0.25">
      <c r="A788" s="1">
        <v>6069</v>
      </c>
      <c r="B788" s="1">
        <v>6069</v>
      </c>
      <c r="C788" s="1">
        <v>1550</v>
      </c>
    </row>
    <row r="789" spans="1:3" x14ac:dyDescent="0.25">
      <c r="A789" s="1">
        <v>5416</v>
      </c>
      <c r="B789" s="1">
        <v>6658</v>
      </c>
      <c r="C789" s="1">
        <v>1550</v>
      </c>
    </row>
    <row r="790" spans="1:3" x14ac:dyDescent="0.25">
      <c r="A790" s="1">
        <v>4707</v>
      </c>
      <c r="B790" s="1">
        <v>7177</v>
      </c>
      <c r="C790" s="1">
        <v>1550</v>
      </c>
    </row>
    <row r="791" spans="1:3" x14ac:dyDescent="0.25">
      <c r="A791" s="1">
        <v>3949</v>
      </c>
      <c r="B791" s="1">
        <v>7620</v>
      </c>
      <c r="C791" s="1">
        <v>1550</v>
      </c>
    </row>
    <row r="792" spans="1:3" x14ac:dyDescent="0.25">
      <c r="A792" s="1">
        <v>3149</v>
      </c>
      <c r="B792" s="1">
        <v>7984</v>
      </c>
      <c r="C792" s="1">
        <v>1550</v>
      </c>
    </row>
    <row r="793" spans="1:3" x14ac:dyDescent="0.25">
      <c r="A793" s="1">
        <v>2304</v>
      </c>
      <c r="B793" s="1">
        <v>8268</v>
      </c>
      <c r="C793" s="1">
        <v>1550</v>
      </c>
    </row>
    <row r="794" spans="1:3" x14ac:dyDescent="0.25">
      <c r="A794" s="1">
        <v>1740</v>
      </c>
      <c r="B794" s="1">
        <v>8406</v>
      </c>
      <c r="C794" s="1">
        <v>1550</v>
      </c>
    </row>
    <row r="795" spans="1:3" x14ac:dyDescent="0.25">
      <c r="A795" s="1">
        <v>1383</v>
      </c>
      <c r="B795" s="1">
        <v>8471</v>
      </c>
      <c r="C795" s="1">
        <v>1550</v>
      </c>
    </row>
    <row r="796" spans="1:3" x14ac:dyDescent="0.25">
      <c r="A796" t="s">
        <v>156</v>
      </c>
      <c r="B796" s="1">
        <v>8538</v>
      </c>
      <c r="C796" s="1">
        <v>1550</v>
      </c>
    </row>
    <row r="797" spans="1:3" x14ac:dyDescent="0.25">
      <c r="A797" t="s">
        <v>14</v>
      </c>
      <c r="B797" s="1">
        <v>8579</v>
      </c>
      <c r="C797" s="1">
        <v>1550</v>
      </c>
    </row>
    <row r="798" spans="1:3" x14ac:dyDescent="0.25">
      <c r="A798" s="1">
        <v>-8464</v>
      </c>
      <c r="B798" s="1">
        <v>8584</v>
      </c>
      <c r="C798" s="1">
        <v>1550</v>
      </c>
    </row>
    <row r="799" spans="1:3" x14ac:dyDescent="0.25">
      <c r="A799" s="1">
        <v>-9600</v>
      </c>
      <c r="B799" s="1">
        <v>9600</v>
      </c>
      <c r="C799" s="1">
        <v>1550</v>
      </c>
    </row>
    <row r="800" spans="1:3" x14ac:dyDescent="0.25">
      <c r="A800" s="1">
        <v>-9600</v>
      </c>
      <c r="B800" s="1">
        <v>-9600</v>
      </c>
      <c r="C800" s="1">
        <v>1550</v>
      </c>
    </row>
    <row r="801" spans="1:3" x14ac:dyDescent="0.25">
      <c r="A801" t="s">
        <v>38</v>
      </c>
      <c r="B801" s="1">
        <v>-9598</v>
      </c>
      <c r="C801" s="1">
        <v>1550</v>
      </c>
    </row>
    <row r="802" spans="1:3" x14ac:dyDescent="0.25">
      <c r="A802" t="s">
        <v>16</v>
      </c>
      <c r="B802" s="1">
        <v>-9577</v>
      </c>
      <c r="C802" s="1">
        <v>1550</v>
      </c>
    </row>
    <row r="803" spans="1:3" x14ac:dyDescent="0.25">
      <c r="A803" s="1">
        <v>1307</v>
      </c>
      <c r="B803" s="1">
        <v>-9510</v>
      </c>
      <c r="C803" s="1">
        <v>1550</v>
      </c>
    </row>
    <row r="804" spans="1:3" x14ac:dyDescent="0.25">
      <c r="A804" s="1">
        <v>1953</v>
      </c>
      <c r="B804" s="1">
        <v>-9399</v>
      </c>
      <c r="C804" s="1">
        <v>1550</v>
      </c>
    </row>
    <row r="805" spans="1:3" x14ac:dyDescent="0.25">
      <c r="A805" s="1">
        <v>2590</v>
      </c>
      <c r="B805" s="1">
        <v>-9244</v>
      </c>
      <c r="C805" s="1">
        <v>1550</v>
      </c>
    </row>
    <row r="806" spans="1:3" x14ac:dyDescent="0.25">
      <c r="A806" s="1">
        <v>3217</v>
      </c>
      <c r="B806" s="1">
        <v>-9045</v>
      </c>
      <c r="C806" s="1">
        <v>1550</v>
      </c>
    </row>
    <row r="807" spans="1:3" x14ac:dyDescent="0.25">
      <c r="A807" s="1">
        <v>4122</v>
      </c>
      <c r="B807" s="1">
        <v>-8670</v>
      </c>
      <c r="C807" s="1">
        <v>1550</v>
      </c>
    </row>
    <row r="808" spans="1:3" x14ac:dyDescent="0.25">
      <c r="A808" s="1">
        <v>4702</v>
      </c>
      <c r="B808" s="1">
        <v>-8369</v>
      </c>
      <c r="C808" s="1">
        <v>1550</v>
      </c>
    </row>
    <row r="809" spans="1:3" x14ac:dyDescent="0.25">
      <c r="A809" s="1">
        <v>5539</v>
      </c>
      <c r="B809" s="1">
        <v>-7841</v>
      </c>
      <c r="C809" s="1">
        <v>1550</v>
      </c>
    </row>
    <row r="810" spans="1:3" x14ac:dyDescent="0.25">
      <c r="A810" s="1">
        <v>6058</v>
      </c>
      <c r="B810" s="1">
        <v>-7447</v>
      </c>
      <c r="C810" s="1">
        <v>1550</v>
      </c>
    </row>
    <row r="811" spans="1:3" x14ac:dyDescent="0.25">
      <c r="A811" s="1">
        <v>6552</v>
      </c>
      <c r="B811" s="1">
        <v>-7016</v>
      </c>
      <c r="C811" s="1">
        <v>1550</v>
      </c>
    </row>
    <row r="812" spans="1:3" x14ac:dyDescent="0.25">
      <c r="A812" s="1">
        <v>7016</v>
      </c>
      <c r="B812" s="1">
        <v>-6552</v>
      </c>
      <c r="C812" s="1">
        <v>1550</v>
      </c>
    </row>
    <row r="813" spans="1:3" x14ac:dyDescent="0.25">
      <c r="A813" s="1">
        <v>7447</v>
      </c>
      <c r="B813" s="1">
        <v>-6058</v>
      </c>
      <c r="C813" s="1">
        <v>1550</v>
      </c>
    </row>
    <row r="814" spans="1:3" x14ac:dyDescent="0.25">
      <c r="A814" s="1">
        <v>7843</v>
      </c>
      <c r="B814" s="1">
        <v>-5536</v>
      </c>
      <c r="C814" s="1">
        <v>1550</v>
      </c>
    </row>
    <row r="815" spans="1:3" x14ac:dyDescent="0.25">
      <c r="A815" s="1">
        <v>8202</v>
      </c>
      <c r="B815" s="1">
        <v>-4988</v>
      </c>
      <c r="C815" s="1">
        <v>1550</v>
      </c>
    </row>
    <row r="816" spans="1:3" x14ac:dyDescent="0.25">
      <c r="A816" s="1">
        <v>8523</v>
      </c>
      <c r="B816" s="1">
        <v>-4417</v>
      </c>
      <c r="C816" s="1">
        <v>1550</v>
      </c>
    </row>
    <row r="817" spans="1:3" x14ac:dyDescent="0.25">
      <c r="A817" s="1">
        <v>8805</v>
      </c>
      <c r="B817" s="1">
        <v>-3825</v>
      </c>
      <c r="C817" s="1">
        <v>1550</v>
      </c>
    </row>
    <row r="818" spans="1:3" x14ac:dyDescent="0.25">
      <c r="A818" s="1">
        <v>9046</v>
      </c>
      <c r="B818" s="1">
        <v>-3213</v>
      </c>
      <c r="C818" s="1">
        <v>1550</v>
      </c>
    </row>
    <row r="819" spans="1:3" x14ac:dyDescent="0.25">
      <c r="A819" s="1">
        <v>9327</v>
      </c>
      <c r="B819" s="1">
        <v>-2273</v>
      </c>
      <c r="C819" s="1">
        <v>1550</v>
      </c>
    </row>
    <row r="820" spans="1:3" x14ac:dyDescent="0.25">
      <c r="A820" s="1">
        <v>9460</v>
      </c>
      <c r="B820" s="1">
        <v>-1631</v>
      </c>
      <c r="C820" s="1">
        <v>1550</v>
      </c>
    </row>
    <row r="821" spans="1:3" x14ac:dyDescent="0.25">
      <c r="A821" s="1">
        <v>9549</v>
      </c>
      <c r="B821">
        <f>0.982</f>
        <v>0.98199999999999998</v>
      </c>
      <c r="C821" s="1">
        <v>1550</v>
      </c>
    </row>
    <row r="822" spans="1:3" x14ac:dyDescent="0.25">
      <c r="A822" s="1">
        <v>9594</v>
      </c>
      <c r="B822">
        <f>0.328</f>
        <v>0.32800000000000001</v>
      </c>
      <c r="C822" s="1">
        <v>1550</v>
      </c>
    </row>
    <row r="823" spans="1:3" x14ac:dyDescent="0.25">
      <c r="A823" s="1">
        <v>9594</v>
      </c>
      <c r="B823">
        <v>0.32800000000000001</v>
      </c>
      <c r="C823" s="1">
        <v>1550</v>
      </c>
    </row>
    <row r="824" spans="1:3" x14ac:dyDescent="0.25">
      <c r="A824" s="1">
        <v>9549</v>
      </c>
      <c r="B824">
        <v>0.98199999999999998</v>
      </c>
      <c r="C824" s="1">
        <v>1550</v>
      </c>
    </row>
    <row r="825" spans="1:3" x14ac:dyDescent="0.25">
      <c r="A825" s="1">
        <v>9460</v>
      </c>
      <c r="B825" s="1">
        <v>1631</v>
      </c>
      <c r="C825" s="1">
        <v>1550</v>
      </c>
    </row>
    <row r="826" spans="1:3" x14ac:dyDescent="0.25">
      <c r="A826" s="1">
        <v>9328</v>
      </c>
      <c r="B826" s="1">
        <v>2270</v>
      </c>
      <c r="C826" s="1">
        <v>1550</v>
      </c>
    </row>
    <row r="827" spans="1:3" x14ac:dyDescent="0.25">
      <c r="A827" s="1">
        <v>9044</v>
      </c>
      <c r="B827" s="1">
        <v>3218</v>
      </c>
      <c r="C827" s="1">
        <v>1550</v>
      </c>
    </row>
    <row r="828" spans="1:3" x14ac:dyDescent="0.25">
      <c r="A828" s="1">
        <v>8805</v>
      </c>
      <c r="B828" s="1">
        <v>3825</v>
      </c>
      <c r="C828" s="1">
        <v>1550</v>
      </c>
    </row>
    <row r="829" spans="1:3" x14ac:dyDescent="0.25">
      <c r="A829" s="1">
        <v>8525</v>
      </c>
      <c r="B829" s="1">
        <v>4413</v>
      </c>
      <c r="C829" s="1">
        <v>1550</v>
      </c>
    </row>
    <row r="830" spans="1:3" x14ac:dyDescent="0.25">
      <c r="A830" s="1">
        <v>8027</v>
      </c>
      <c r="B830" s="1">
        <v>5265</v>
      </c>
      <c r="C830" s="1">
        <v>1550</v>
      </c>
    </row>
    <row r="831" spans="1:3" x14ac:dyDescent="0.25">
      <c r="A831" s="1">
        <v>7446</v>
      </c>
      <c r="B831" s="1">
        <v>6058</v>
      </c>
      <c r="C831" s="1">
        <v>1550</v>
      </c>
    </row>
    <row r="832" spans="1:3" x14ac:dyDescent="0.25">
      <c r="A832" s="1">
        <v>6788</v>
      </c>
      <c r="B832" s="1">
        <v>6788</v>
      </c>
      <c r="C832" s="1">
        <v>1550</v>
      </c>
    </row>
    <row r="833" spans="1:3" x14ac:dyDescent="0.25">
      <c r="A833" s="1">
        <v>6058</v>
      </c>
      <c r="B833" s="1">
        <v>7446</v>
      </c>
      <c r="C833" s="1">
        <v>1550</v>
      </c>
    </row>
    <row r="834" spans="1:3" x14ac:dyDescent="0.25">
      <c r="A834" s="1">
        <v>5265</v>
      </c>
      <c r="B834" s="1">
        <v>8027</v>
      </c>
      <c r="C834" s="1">
        <v>1550</v>
      </c>
    </row>
    <row r="835" spans="1:3" x14ac:dyDescent="0.25">
      <c r="A835" s="1">
        <v>4416</v>
      </c>
      <c r="B835" s="1">
        <v>8523</v>
      </c>
      <c r="C835" s="1">
        <v>1550</v>
      </c>
    </row>
    <row r="836" spans="1:3" x14ac:dyDescent="0.25">
      <c r="A836" s="1">
        <v>3522</v>
      </c>
      <c r="B836" s="1">
        <v>8930</v>
      </c>
      <c r="C836" s="1">
        <v>1550</v>
      </c>
    </row>
    <row r="837" spans="1:3" x14ac:dyDescent="0.25">
      <c r="A837" s="1">
        <v>2587</v>
      </c>
      <c r="B837" s="1">
        <v>9245</v>
      </c>
      <c r="C837" s="1">
        <v>1550</v>
      </c>
    </row>
    <row r="838" spans="1:3" x14ac:dyDescent="0.25">
      <c r="A838" s="1">
        <v>1951</v>
      </c>
      <c r="B838" s="1">
        <v>9399</v>
      </c>
      <c r="C838" s="1">
        <v>1550</v>
      </c>
    </row>
    <row r="839" spans="1:3" x14ac:dyDescent="0.25">
      <c r="A839" s="1">
        <v>1542</v>
      </c>
      <c r="B839" s="1">
        <v>9474</v>
      </c>
      <c r="C839" s="1">
        <v>1550</v>
      </c>
    </row>
    <row r="840" spans="1:3" x14ac:dyDescent="0.25">
      <c r="A840" t="s">
        <v>18</v>
      </c>
      <c r="B840" s="1">
        <v>9549</v>
      </c>
      <c r="C840" s="1">
        <v>1550</v>
      </c>
    </row>
    <row r="841" spans="1:3" x14ac:dyDescent="0.25">
      <c r="A841" t="s">
        <v>17</v>
      </c>
      <c r="B841" s="1">
        <v>9594</v>
      </c>
      <c r="C841" s="1">
        <v>1550</v>
      </c>
    </row>
    <row r="842" spans="1:3" x14ac:dyDescent="0.25">
      <c r="A842" s="1">
        <v>-9480</v>
      </c>
      <c r="B842" s="1">
        <v>9600</v>
      </c>
      <c r="C842" s="1">
        <v>1550</v>
      </c>
    </row>
    <row r="843" spans="1:3" x14ac:dyDescent="0.25">
      <c r="A843" s="1">
        <v>-9201</v>
      </c>
      <c r="B843" s="1">
        <v>8906</v>
      </c>
      <c r="C843" s="1">
        <v>1550</v>
      </c>
    </row>
    <row r="844" spans="1:3" x14ac:dyDescent="0.25">
      <c r="A844" s="1">
        <v>-1765</v>
      </c>
      <c r="B844" s="1">
        <v>6588</v>
      </c>
      <c r="C844" s="1">
        <v>1550</v>
      </c>
    </row>
    <row r="845" spans="1:3" x14ac:dyDescent="0.25">
      <c r="A845" s="1">
        <v>1712</v>
      </c>
      <c r="B845" s="1">
        <v>-6391</v>
      </c>
      <c r="C845" s="1">
        <v>1550</v>
      </c>
    </row>
    <row r="846" spans="1:3" x14ac:dyDescent="0.25">
      <c r="A846" s="1">
        <v>3522</v>
      </c>
      <c r="B846" s="1">
        <v>3522</v>
      </c>
      <c r="C846" s="1">
        <v>1550</v>
      </c>
    </row>
    <row r="847" spans="1:3" x14ac:dyDescent="0.25">
      <c r="A847" s="1">
        <v>3920</v>
      </c>
      <c r="B847" s="1">
        <v>3081</v>
      </c>
      <c r="C847" s="1">
        <v>1550</v>
      </c>
    </row>
    <row r="848" spans="1:3" x14ac:dyDescent="0.25">
      <c r="A848" s="1">
        <v>4270</v>
      </c>
      <c r="B848" s="1">
        <v>2602</v>
      </c>
      <c r="C848" s="1">
        <v>1550</v>
      </c>
    </row>
    <row r="849" spans="1:3" x14ac:dyDescent="0.25">
      <c r="A849" s="1">
        <v>4588</v>
      </c>
      <c r="B849" s="1">
        <v>2059</v>
      </c>
      <c r="C849" s="1">
        <v>1550</v>
      </c>
    </row>
    <row r="850" spans="1:3" x14ac:dyDescent="0.25">
      <c r="A850" s="1">
        <v>4743</v>
      </c>
      <c r="B850" s="1">
        <v>1733</v>
      </c>
      <c r="C850" s="1">
        <v>1550</v>
      </c>
    </row>
    <row r="851" spans="1:3" x14ac:dyDescent="0.25">
      <c r="A851" s="1">
        <v>4875</v>
      </c>
      <c r="B851" s="1">
        <v>1398</v>
      </c>
      <c r="C851" s="1">
        <v>1550</v>
      </c>
    </row>
    <row r="852" spans="1:3" x14ac:dyDescent="0.25">
      <c r="A852" s="1">
        <v>5065</v>
      </c>
      <c r="B852">
        <v>0.76100000000000001</v>
      </c>
      <c r="C852" s="1">
        <v>1550</v>
      </c>
    </row>
    <row r="853" spans="1:3" x14ac:dyDescent="0.25">
      <c r="A853" s="1">
        <v>5139</v>
      </c>
      <c r="B853">
        <v>0.40799999999999997</v>
      </c>
      <c r="C853" s="1">
        <v>1550</v>
      </c>
    </row>
    <row r="854" spans="1:3" x14ac:dyDescent="0.25">
      <c r="A854" s="1">
        <v>5193</v>
      </c>
      <c r="B854">
        <v>1.4999999999999999E-2</v>
      </c>
      <c r="C854" s="1">
        <v>1550</v>
      </c>
    </row>
    <row r="855" spans="1:3" x14ac:dyDescent="0.25">
      <c r="A855" s="1">
        <v>5220</v>
      </c>
      <c r="B855">
        <f>0.38</f>
        <v>0.38</v>
      </c>
      <c r="C855" s="1">
        <v>1550</v>
      </c>
    </row>
    <row r="856" spans="1:3" x14ac:dyDescent="0.25">
      <c r="A856" s="1">
        <v>5220</v>
      </c>
      <c r="B856">
        <f>0.776</f>
        <v>0.77600000000000002</v>
      </c>
      <c r="C856" s="1">
        <v>1550</v>
      </c>
    </row>
    <row r="857" spans="1:3" x14ac:dyDescent="0.25">
      <c r="A857" s="1">
        <v>5193</v>
      </c>
      <c r="B857" s="1">
        <v>-1171</v>
      </c>
      <c r="C857" s="1">
        <v>1550</v>
      </c>
    </row>
    <row r="858" spans="1:3" x14ac:dyDescent="0.25">
      <c r="A858" s="1">
        <v>5139</v>
      </c>
      <c r="B858" s="1">
        <v>-1563</v>
      </c>
      <c r="C858" s="1">
        <v>1550</v>
      </c>
    </row>
    <row r="859" spans="1:3" x14ac:dyDescent="0.25">
      <c r="A859" s="1">
        <v>4970</v>
      </c>
      <c r="B859" s="1">
        <v>-2269</v>
      </c>
      <c r="C859" s="1">
        <v>1550</v>
      </c>
    </row>
    <row r="860" spans="1:3" x14ac:dyDescent="0.25">
      <c r="A860" s="1">
        <v>4736</v>
      </c>
      <c r="B860" s="1">
        <v>-2903</v>
      </c>
      <c r="C860" s="1">
        <v>1550</v>
      </c>
    </row>
    <row r="861" spans="1:3" x14ac:dyDescent="0.25">
      <c r="A861" s="1">
        <v>4573</v>
      </c>
      <c r="B861" s="1">
        <v>-3246</v>
      </c>
      <c r="C861" s="1">
        <v>1550</v>
      </c>
    </row>
    <row r="862" spans="1:3" x14ac:dyDescent="0.25">
      <c r="A862" s="1">
        <v>4379</v>
      </c>
      <c r="B862" s="1">
        <v>-3592</v>
      </c>
      <c r="C862" s="1">
        <v>1550</v>
      </c>
    </row>
    <row r="863" spans="1:3" x14ac:dyDescent="0.25">
      <c r="A863" s="1">
        <v>4161</v>
      </c>
      <c r="B863" s="1">
        <v>-3923</v>
      </c>
      <c r="C863" s="1">
        <v>1550</v>
      </c>
    </row>
    <row r="864" spans="1:3" x14ac:dyDescent="0.25">
      <c r="A864" s="1">
        <v>3922</v>
      </c>
      <c r="B864" s="1">
        <v>-4239</v>
      </c>
      <c r="C864" s="1">
        <v>1550</v>
      </c>
    </row>
    <row r="865" spans="1:3" x14ac:dyDescent="0.25">
      <c r="A865" s="1">
        <v>3662</v>
      </c>
      <c r="B865" s="1">
        <v>-4537</v>
      </c>
      <c r="C865" s="1">
        <v>1550</v>
      </c>
    </row>
    <row r="866" spans="1:3" x14ac:dyDescent="0.25">
      <c r="A866" s="1">
        <v>3382</v>
      </c>
      <c r="B866" s="1">
        <v>-4817</v>
      </c>
      <c r="C866" s="1">
        <v>1550</v>
      </c>
    </row>
    <row r="867" spans="1:3" x14ac:dyDescent="0.25">
      <c r="A867" s="1">
        <v>3083</v>
      </c>
      <c r="B867" s="1">
        <v>-5077</v>
      </c>
      <c r="C867" s="1">
        <v>1550</v>
      </c>
    </row>
    <row r="868" spans="1:3" x14ac:dyDescent="0.25">
      <c r="A868" s="1">
        <v>2796</v>
      </c>
      <c r="B868" s="1">
        <v>-5295</v>
      </c>
      <c r="C868" s="1">
        <v>1550</v>
      </c>
    </row>
    <row r="869" spans="1:3" x14ac:dyDescent="0.25">
      <c r="A869" s="1">
        <v>2233</v>
      </c>
      <c r="B869" s="1">
        <v>-5651</v>
      </c>
      <c r="C869" s="1">
        <v>1550</v>
      </c>
    </row>
    <row r="870" spans="1:3" x14ac:dyDescent="0.25">
      <c r="A870" s="1">
        <v>1611</v>
      </c>
      <c r="B870" s="1">
        <v>-5949</v>
      </c>
      <c r="C870" s="1">
        <v>1550</v>
      </c>
    </row>
    <row r="871" spans="1:3" x14ac:dyDescent="0.25">
      <c r="A871" t="s">
        <v>39</v>
      </c>
      <c r="B871" s="1">
        <v>-6167</v>
      </c>
      <c r="C871" s="1">
        <v>1550</v>
      </c>
    </row>
    <row r="872" spans="1:3" x14ac:dyDescent="0.25">
      <c r="A872" t="s">
        <v>33</v>
      </c>
      <c r="B872" s="1">
        <v>-6257</v>
      </c>
      <c r="C872" s="1">
        <v>1550</v>
      </c>
    </row>
    <row r="873" spans="1:3" x14ac:dyDescent="0.25">
      <c r="A873" t="s">
        <v>34</v>
      </c>
      <c r="B873" s="1">
        <v>-6324</v>
      </c>
      <c r="C873" s="1">
        <v>1550</v>
      </c>
    </row>
    <row r="874" spans="1:3" x14ac:dyDescent="0.25">
      <c r="A874" t="e" vm="4">
        <f>_FV(0,"188")</f>
        <v>#VALUE!</v>
      </c>
      <c r="B874" s="1">
        <v>-6366</v>
      </c>
      <c r="C874" s="1">
        <v>1550</v>
      </c>
    </row>
    <row r="875" spans="1:3" x14ac:dyDescent="0.25">
      <c r="A875" t="e" vm="5">
        <f>_FV(0,"56")</f>
        <v>#VALUE!</v>
      </c>
      <c r="B875" s="1">
        <v>-6379</v>
      </c>
      <c r="C875" s="1">
        <v>1550</v>
      </c>
    </row>
    <row r="876" spans="1:3" x14ac:dyDescent="0.25">
      <c r="A876" s="1">
        <v>-6380</v>
      </c>
      <c r="B876" s="1">
        <v>-6380</v>
      </c>
      <c r="C876" s="1">
        <v>1550</v>
      </c>
    </row>
    <row r="877" spans="1:3" x14ac:dyDescent="0.25">
      <c r="A877" s="1">
        <v>4677</v>
      </c>
      <c r="B877" s="1">
        <v>4677</v>
      </c>
      <c r="C877" s="1">
        <v>1550</v>
      </c>
    </row>
    <row r="878" spans="1:3" x14ac:dyDescent="0.25">
      <c r="A878" s="1">
        <v>4677</v>
      </c>
      <c r="B878" s="1">
        <v>4677</v>
      </c>
      <c r="C878" s="1">
        <v>1850</v>
      </c>
    </row>
    <row r="879" spans="1:3" x14ac:dyDescent="0.25">
      <c r="A879" s="1">
        <v>-7289</v>
      </c>
      <c r="B879" s="1">
        <v>7287</v>
      </c>
      <c r="C879" s="1">
        <v>1850</v>
      </c>
    </row>
    <row r="880" spans="1:3" x14ac:dyDescent="0.25">
      <c r="A880" s="1">
        <v>-7289</v>
      </c>
      <c r="B880" s="1">
        <v>-7288</v>
      </c>
      <c r="C880" s="1">
        <v>1850</v>
      </c>
    </row>
    <row r="881" spans="1:3" x14ac:dyDescent="0.25">
      <c r="A881" t="s">
        <v>40</v>
      </c>
      <c r="B881" s="1">
        <v>-7287</v>
      </c>
      <c r="C881" s="1">
        <v>1850</v>
      </c>
    </row>
    <row r="882" spans="1:3" x14ac:dyDescent="0.25">
      <c r="A882" t="s">
        <v>41</v>
      </c>
      <c r="B882" s="1">
        <v>-7271</v>
      </c>
      <c r="C882" s="1">
        <v>1850</v>
      </c>
    </row>
    <row r="883" spans="1:3" x14ac:dyDescent="0.25">
      <c r="A883" t="s">
        <v>11</v>
      </c>
      <c r="B883" s="1">
        <v>-7219</v>
      </c>
      <c r="C883" s="1">
        <v>1850</v>
      </c>
    </row>
    <row r="884" spans="1:3" x14ac:dyDescent="0.25">
      <c r="A884" s="1">
        <v>1483</v>
      </c>
      <c r="B884" s="1">
        <v>-7135</v>
      </c>
      <c r="C884" s="1">
        <v>1850</v>
      </c>
    </row>
    <row r="885" spans="1:3" x14ac:dyDescent="0.25">
      <c r="A885" s="1">
        <v>1966</v>
      </c>
      <c r="B885" s="1">
        <v>-7017</v>
      </c>
      <c r="C885" s="1">
        <v>1850</v>
      </c>
    </row>
    <row r="886" spans="1:3" x14ac:dyDescent="0.25">
      <c r="A886" s="1">
        <v>2440</v>
      </c>
      <c r="B886" s="1">
        <v>-6866</v>
      </c>
      <c r="C886" s="1">
        <v>1850</v>
      </c>
    </row>
    <row r="887" spans="1:3" x14ac:dyDescent="0.25">
      <c r="A887" s="1">
        <v>2882</v>
      </c>
      <c r="B887" s="1">
        <v>-6692</v>
      </c>
      <c r="C887" s="1">
        <v>1850</v>
      </c>
    </row>
    <row r="888" spans="1:3" x14ac:dyDescent="0.25">
      <c r="A888" s="1">
        <v>3571</v>
      </c>
      <c r="B888" s="1">
        <v>-6350</v>
      </c>
      <c r="C888" s="1">
        <v>1850</v>
      </c>
    </row>
    <row r="889" spans="1:3" x14ac:dyDescent="0.25">
      <c r="A889" s="1">
        <v>4221</v>
      </c>
      <c r="B889" s="1">
        <v>-5939</v>
      </c>
      <c r="C889" s="1">
        <v>1850</v>
      </c>
    </row>
    <row r="890" spans="1:3" x14ac:dyDescent="0.25">
      <c r="A890" s="1">
        <v>4599</v>
      </c>
      <c r="B890" s="1">
        <v>-5653</v>
      </c>
      <c r="C890" s="1">
        <v>1850</v>
      </c>
    </row>
    <row r="891" spans="1:3" x14ac:dyDescent="0.25">
      <c r="A891" s="1">
        <v>4974</v>
      </c>
      <c r="B891" s="1">
        <v>-5326</v>
      </c>
      <c r="C891" s="1">
        <v>1850</v>
      </c>
    </row>
    <row r="892" spans="1:3" x14ac:dyDescent="0.25">
      <c r="A892" s="1">
        <v>5326</v>
      </c>
      <c r="B892" s="1">
        <v>-4974</v>
      </c>
      <c r="C892" s="1">
        <v>1850</v>
      </c>
    </row>
    <row r="893" spans="1:3" x14ac:dyDescent="0.25">
      <c r="A893" s="1">
        <v>5653</v>
      </c>
      <c r="B893" s="1">
        <v>-4599</v>
      </c>
      <c r="C893" s="1">
        <v>1850</v>
      </c>
    </row>
    <row r="894" spans="1:3" x14ac:dyDescent="0.25">
      <c r="A894" s="1">
        <v>5953</v>
      </c>
      <c r="B894" s="1">
        <v>-4202</v>
      </c>
      <c r="C894" s="1">
        <v>1850</v>
      </c>
    </row>
    <row r="895" spans="1:3" x14ac:dyDescent="0.25">
      <c r="A895" s="1">
        <v>6226</v>
      </c>
      <c r="B895" s="1">
        <v>-3786</v>
      </c>
      <c r="C895" s="1">
        <v>1850</v>
      </c>
    </row>
    <row r="896" spans="1:3" x14ac:dyDescent="0.25">
      <c r="A896" s="1">
        <v>6613</v>
      </c>
      <c r="B896" s="1">
        <v>-3060</v>
      </c>
      <c r="C896" s="1">
        <v>1850</v>
      </c>
    </row>
    <row r="897" spans="1:3" x14ac:dyDescent="0.25">
      <c r="A897" s="1">
        <v>6778</v>
      </c>
      <c r="B897" s="1">
        <v>-2678</v>
      </c>
      <c r="C897" s="1">
        <v>1850</v>
      </c>
    </row>
    <row r="898" spans="1:3" x14ac:dyDescent="0.25">
      <c r="A898" s="1">
        <v>6946</v>
      </c>
      <c r="B898" s="1">
        <v>-2204</v>
      </c>
      <c r="C898" s="1">
        <v>1850</v>
      </c>
    </row>
    <row r="899" spans="1:3" x14ac:dyDescent="0.25">
      <c r="A899" s="1">
        <v>7080</v>
      </c>
      <c r="B899" s="1">
        <v>-1725</v>
      </c>
      <c r="C899" s="1">
        <v>1850</v>
      </c>
    </row>
    <row r="900" spans="1:3" x14ac:dyDescent="0.25">
      <c r="A900" s="1">
        <v>7181</v>
      </c>
      <c r="B900" s="1">
        <v>-1238</v>
      </c>
      <c r="C900" s="1">
        <v>1850</v>
      </c>
    </row>
    <row r="901" spans="1:3" x14ac:dyDescent="0.25">
      <c r="A901" s="1">
        <v>7249</v>
      </c>
      <c r="B901">
        <f>0.745</f>
        <v>0.745</v>
      </c>
      <c r="C901" s="1">
        <v>1850</v>
      </c>
    </row>
    <row r="902" spans="1:3" x14ac:dyDescent="0.25">
      <c r="A902" s="1">
        <v>7283</v>
      </c>
      <c r="B902">
        <f>0.249</f>
        <v>0.249</v>
      </c>
      <c r="C902" s="1">
        <v>1850</v>
      </c>
    </row>
    <row r="903" spans="1:3" x14ac:dyDescent="0.25">
      <c r="A903" s="1">
        <v>7283</v>
      </c>
      <c r="B903">
        <v>0.249</v>
      </c>
      <c r="C903" s="1">
        <v>1850</v>
      </c>
    </row>
    <row r="904" spans="1:3" x14ac:dyDescent="0.25">
      <c r="A904" s="1">
        <v>7249</v>
      </c>
      <c r="B904">
        <v>0.745</v>
      </c>
      <c r="C904" s="1">
        <v>1850</v>
      </c>
    </row>
    <row r="905" spans="1:3" x14ac:dyDescent="0.25">
      <c r="A905" s="1">
        <v>7181</v>
      </c>
      <c r="B905" s="1">
        <v>1238</v>
      </c>
      <c r="C905" s="1">
        <v>1850</v>
      </c>
    </row>
    <row r="906" spans="1:3" x14ac:dyDescent="0.25">
      <c r="A906" s="1">
        <v>7085</v>
      </c>
      <c r="B906" s="1">
        <v>1703</v>
      </c>
      <c r="C906" s="1">
        <v>1850</v>
      </c>
    </row>
    <row r="907" spans="1:3" x14ac:dyDescent="0.25">
      <c r="A907" s="1">
        <v>6858</v>
      </c>
      <c r="B907" s="1">
        <v>2462</v>
      </c>
      <c r="C907" s="1">
        <v>1850</v>
      </c>
    </row>
    <row r="908" spans="1:3" x14ac:dyDescent="0.25">
      <c r="A908" s="1">
        <v>6684</v>
      </c>
      <c r="B908" s="1">
        <v>2903</v>
      </c>
      <c r="C908" s="1">
        <v>1850</v>
      </c>
    </row>
    <row r="909" spans="1:3" x14ac:dyDescent="0.25">
      <c r="A909" s="1">
        <v>6480</v>
      </c>
      <c r="B909" s="1">
        <v>3332</v>
      </c>
      <c r="C909" s="1">
        <v>1850</v>
      </c>
    </row>
    <row r="910" spans="1:3" x14ac:dyDescent="0.25">
      <c r="A910" s="1">
        <v>6092</v>
      </c>
      <c r="B910" s="1">
        <v>3996</v>
      </c>
      <c r="C910" s="1">
        <v>1850</v>
      </c>
    </row>
    <row r="911" spans="1:3" x14ac:dyDescent="0.25">
      <c r="A911" s="1">
        <v>5651</v>
      </c>
      <c r="B911" s="1">
        <v>4598</v>
      </c>
      <c r="C911" s="1">
        <v>1850</v>
      </c>
    </row>
    <row r="912" spans="1:3" x14ac:dyDescent="0.25">
      <c r="A912" s="1">
        <v>5151</v>
      </c>
      <c r="B912" s="1">
        <v>5151</v>
      </c>
      <c r="C912" s="1">
        <v>1850</v>
      </c>
    </row>
    <row r="913" spans="1:3" x14ac:dyDescent="0.25">
      <c r="A913" s="1">
        <v>4598</v>
      </c>
      <c r="B913" s="1">
        <v>5651</v>
      </c>
      <c r="C913" s="1">
        <v>1850</v>
      </c>
    </row>
    <row r="914" spans="1:3" x14ac:dyDescent="0.25">
      <c r="A914" s="1">
        <v>3996</v>
      </c>
      <c r="B914" s="1">
        <v>6092</v>
      </c>
      <c r="C914" s="1">
        <v>1850</v>
      </c>
    </row>
    <row r="915" spans="1:3" x14ac:dyDescent="0.25">
      <c r="A915" s="1">
        <v>3352</v>
      </c>
      <c r="B915" s="1">
        <v>6468</v>
      </c>
      <c r="C915" s="1">
        <v>1850</v>
      </c>
    </row>
    <row r="916" spans="1:3" x14ac:dyDescent="0.25">
      <c r="A916" s="1">
        <v>2673</v>
      </c>
      <c r="B916" s="1">
        <v>6777</v>
      </c>
      <c r="C916" s="1">
        <v>1850</v>
      </c>
    </row>
    <row r="917" spans="1:3" x14ac:dyDescent="0.25">
      <c r="A917" s="1">
        <v>1966</v>
      </c>
      <c r="B917" s="1">
        <v>7015</v>
      </c>
      <c r="C917" s="1">
        <v>1850</v>
      </c>
    </row>
    <row r="918" spans="1:3" x14ac:dyDescent="0.25">
      <c r="A918" s="1">
        <v>1215</v>
      </c>
      <c r="B918" s="1">
        <v>7184</v>
      </c>
      <c r="C918" s="1">
        <v>1850</v>
      </c>
    </row>
    <row r="919" spans="1:3" x14ac:dyDescent="0.25">
      <c r="A919" t="s">
        <v>12</v>
      </c>
      <c r="B919" s="1">
        <v>7249</v>
      </c>
      <c r="C919" s="1">
        <v>1850</v>
      </c>
    </row>
    <row r="920" spans="1:3" x14ac:dyDescent="0.25">
      <c r="A920" t="s">
        <v>13</v>
      </c>
      <c r="B920" s="1">
        <v>7283</v>
      </c>
      <c r="C920" s="1">
        <v>1850</v>
      </c>
    </row>
    <row r="921" spans="1:3" x14ac:dyDescent="0.25">
      <c r="A921" s="1">
        <v>-7169</v>
      </c>
      <c r="B921" s="1">
        <v>7287</v>
      </c>
      <c r="C921" s="1">
        <v>1850</v>
      </c>
    </row>
    <row r="922" spans="1:3" x14ac:dyDescent="0.25">
      <c r="A922" s="1">
        <v>-8584</v>
      </c>
      <c r="B922" s="1">
        <v>8584</v>
      </c>
      <c r="C922" s="1">
        <v>1850</v>
      </c>
    </row>
    <row r="923" spans="1:3" x14ac:dyDescent="0.25">
      <c r="A923" s="1">
        <v>-8584</v>
      </c>
      <c r="B923" s="1">
        <v>-8584</v>
      </c>
      <c r="C923" s="1">
        <v>1850</v>
      </c>
    </row>
    <row r="924" spans="1:3" x14ac:dyDescent="0.25">
      <c r="A924" t="s">
        <v>25</v>
      </c>
      <c r="B924" s="1">
        <v>-8582</v>
      </c>
      <c r="C924" s="1">
        <v>1850</v>
      </c>
    </row>
    <row r="925" spans="1:3" x14ac:dyDescent="0.25">
      <c r="A925" t="s">
        <v>42</v>
      </c>
      <c r="B925" s="1">
        <v>-8564</v>
      </c>
      <c r="C925" s="1">
        <v>1850</v>
      </c>
    </row>
    <row r="926" spans="1:3" x14ac:dyDescent="0.25">
      <c r="A926" s="1">
        <v>1169</v>
      </c>
      <c r="B926" s="1">
        <v>-8504</v>
      </c>
      <c r="C926" s="1">
        <v>1850</v>
      </c>
    </row>
    <row r="927" spans="1:3" x14ac:dyDescent="0.25">
      <c r="A927" s="1">
        <v>1746</v>
      </c>
      <c r="B927" s="1">
        <v>-8404</v>
      </c>
      <c r="C927" s="1">
        <v>1850</v>
      </c>
    </row>
    <row r="928" spans="1:3" x14ac:dyDescent="0.25">
      <c r="A928" s="1">
        <v>2316</v>
      </c>
      <c r="B928" s="1">
        <v>-8265</v>
      </c>
      <c r="C928" s="1">
        <v>1850</v>
      </c>
    </row>
    <row r="929" spans="1:3" x14ac:dyDescent="0.25">
      <c r="A929" s="1">
        <v>2874</v>
      </c>
      <c r="B929" s="1">
        <v>-8088</v>
      </c>
      <c r="C929" s="1">
        <v>1850</v>
      </c>
    </row>
    <row r="930" spans="1:3" x14ac:dyDescent="0.25">
      <c r="A930" s="1">
        <v>3408</v>
      </c>
      <c r="B930" s="1">
        <v>-7877</v>
      </c>
      <c r="C930" s="1">
        <v>1850</v>
      </c>
    </row>
    <row r="931" spans="1:3" x14ac:dyDescent="0.25">
      <c r="A931" s="1">
        <v>4206</v>
      </c>
      <c r="B931" s="1">
        <v>-7481</v>
      </c>
      <c r="C931" s="1">
        <v>1850</v>
      </c>
    </row>
    <row r="932" spans="1:3" x14ac:dyDescent="0.25">
      <c r="A932" s="1">
        <v>4960</v>
      </c>
      <c r="B932" s="1">
        <v>-7005</v>
      </c>
      <c r="C932" s="1">
        <v>1850</v>
      </c>
    </row>
    <row r="933" spans="1:3" x14ac:dyDescent="0.25">
      <c r="A933" s="1">
        <v>5417</v>
      </c>
      <c r="B933" s="1">
        <v>-6658</v>
      </c>
      <c r="C933" s="1">
        <v>1850</v>
      </c>
    </row>
    <row r="934" spans="1:3" x14ac:dyDescent="0.25">
      <c r="A934" s="1">
        <v>5859</v>
      </c>
      <c r="B934" s="1">
        <v>-6273</v>
      </c>
      <c r="C934" s="1">
        <v>1850</v>
      </c>
    </row>
    <row r="935" spans="1:3" x14ac:dyDescent="0.25">
      <c r="A935" s="1">
        <v>6273</v>
      </c>
      <c r="B935" s="1">
        <v>-5859</v>
      </c>
      <c r="C935" s="1">
        <v>1850</v>
      </c>
    </row>
    <row r="936" spans="1:3" x14ac:dyDescent="0.25">
      <c r="A936" s="1">
        <v>6658</v>
      </c>
      <c r="B936" s="1">
        <v>-5417</v>
      </c>
      <c r="C936" s="1">
        <v>1850</v>
      </c>
    </row>
    <row r="937" spans="1:3" x14ac:dyDescent="0.25">
      <c r="A937" s="1">
        <v>7013</v>
      </c>
      <c r="B937" s="1">
        <v>-4950</v>
      </c>
      <c r="C937" s="1">
        <v>1850</v>
      </c>
    </row>
    <row r="938" spans="1:3" x14ac:dyDescent="0.25">
      <c r="A938" s="1">
        <v>7334</v>
      </c>
      <c r="B938" s="1">
        <v>-4460</v>
      </c>
      <c r="C938" s="1">
        <v>1850</v>
      </c>
    </row>
    <row r="939" spans="1:3" x14ac:dyDescent="0.25">
      <c r="A939" s="1">
        <v>7624</v>
      </c>
      <c r="B939" s="1">
        <v>-3944</v>
      </c>
      <c r="C939" s="1">
        <v>1850</v>
      </c>
    </row>
    <row r="940" spans="1:3" x14ac:dyDescent="0.25">
      <c r="A940" s="1">
        <v>7791</v>
      </c>
      <c r="B940" s="1">
        <v>-3600</v>
      </c>
      <c r="C940" s="1">
        <v>1850</v>
      </c>
    </row>
    <row r="941" spans="1:3" x14ac:dyDescent="0.25">
      <c r="A941" s="1">
        <v>7984</v>
      </c>
      <c r="B941" s="1">
        <v>-3151</v>
      </c>
      <c r="C941" s="1">
        <v>1850</v>
      </c>
    </row>
    <row r="942" spans="1:3" x14ac:dyDescent="0.25">
      <c r="A942" s="1">
        <v>8181</v>
      </c>
      <c r="B942" s="1">
        <v>-2597</v>
      </c>
      <c r="C942" s="1">
        <v>1850</v>
      </c>
    </row>
    <row r="943" spans="1:3" x14ac:dyDescent="0.25">
      <c r="A943" s="1">
        <v>8339</v>
      </c>
      <c r="B943" s="1">
        <v>-2032</v>
      </c>
      <c r="C943" s="1">
        <v>1850</v>
      </c>
    </row>
    <row r="944" spans="1:3" x14ac:dyDescent="0.25">
      <c r="A944" s="1">
        <v>8459</v>
      </c>
      <c r="B944" s="1">
        <v>-1458</v>
      </c>
      <c r="C944" s="1">
        <v>1850</v>
      </c>
    </row>
    <row r="945" spans="1:3" x14ac:dyDescent="0.25">
      <c r="A945" s="1">
        <v>8539</v>
      </c>
      <c r="B945">
        <f>0.878</f>
        <v>0.878</v>
      </c>
      <c r="C945" s="1">
        <v>1850</v>
      </c>
    </row>
    <row r="946" spans="1:3" x14ac:dyDescent="0.25">
      <c r="A946" s="1">
        <v>8579</v>
      </c>
      <c r="B946">
        <f>0.293</f>
        <v>0.29299999999999998</v>
      </c>
      <c r="C946" s="1">
        <v>1850</v>
      </c>
    </row>
    <row r="947" spans="1:3" x14ac:dyDescent="0.25">
      <c r="A947" s="1">
        <v>8579</v>
      </c>
      <c r="B947">
        <v>0.29299999999999998</v>
      </c>
      <c r="C947" s="1">
        <v>1850</v>
      </c>
    </row>
    <row r="948" spans="1:3" x14ac:dyDescent="0.25">
      <c r="A948" s="1">
        <v>8539</v>
      </c>
      <c r="B948">
        <v>0.878</v>
      </c>
      <c r="C948" s="1">
        <v>1850</v>
      </c>
    </row>
    <row r="949" spans="1:3" x14ac:dyDescent="0.25">
      <c r="A949" s="1">
        <v>8459</v>
      </c>
      <c r="B949" s="1">
        <v>1458</v>
      </c>
      <c r="C949" s="1">
        <v>1850</v>
      </c>
    </row>
    <row r="950" spans="1:3" x14ac:dyDescent="0.25">
      <c r="A950" s="1">
        <v>8342</v>
      </c>
      <c r="B950" s="1">
        <v>2020</v>
      </c>
      <c r="C950" s="1">
        <v>1850</v>
      </c>
    </row>
    <row r="951" spans="1:3" x14ac:dyDescent="0.25">
      <c r="A951" s="1">
        <v>8084</v>
      </c>
      <c r="B951" s="1">
        <v>2886</v>
      </c>
      <c r="C951" s="1">
        <v>1850</v>
      </c>
    </row>
    <row r="952" spans="1:3" x14ac:dyDescent="0.25">
      <c r="A952" s="1">
        <v>7873</v>
      </c>
      <c r="B952" s="1">
        <v>3420</v>
      </c>
      <c r="C952" s="1">
        <v>1850</v>
      </c>
    </row>
    <row r="953" spans="1:3" x14ac:dyDescent="0.25">
      <c r="A953" s="1">
        <v>7626</v>
      </c>
      <c r="B953" s="1">
        <v>3938</v>
      </c>
      <c r="C953" s="1">
        <v>1850</v>
      </c>
    </row>
    <row r="954" spans="1:3" x14ac:dyDescent="0.25">
      <c r="A954" s="1">
        <v>7177</v>
      </c>
      <c r="B954" s="1">
        <v>4707</v>
      </c>
      <c r="C954" s="1">
        <v>1850</v>
      </c>
    </row>
    <row r="955" spans="1:3" x14ac:dyDescent="0.25">
      <c r="A955" s="1">
        <v>6658</v>
      </c>
      <c r="B955" s="1">
        <v>5416</v>
      </c>
      <c r="C955" s="1">
        <v>1850</v>
      </c>
    </row>
    <row r="956" spans="1:3" x14ac:dyDescent="0.25">
      <c r="A956" s="1">
        <v>6069</v>
      </c>
      <c r="B956" s="1">
        <v>6069</v>
      </c>
      <c r="C956" s="1">
        <v>1850</v>
      </c>
    </row>
    <row r="957" spans="1:3" x14ac:dyDescent="0.25">
      <c r="A957" s="1">
        <v>5416</v>
      </c>
      <c r="B957" s="1">
        <v>6658</v>
      </c>
      <c r="C957" s="1">
        <v>1850</v>
      </c>
    </row>
    <row r="958" spans="1:3" x14ac:dyDescent="0.25">
      <c r="A958" s="1">
        <v>4707</v>
      </c>
      <c r="B958" s="1">
        <v>7177</v>
      </c>
      <c r="C958" s="1">
        <v>1850</v>
      </c>
    </row>
    <row r="959" spans="1:3" x14ac:dyDescent="0.25">
      <c r="A959" s="1">
        <v>3949</v>
      </c>
      <c r="B959" s="1">
        <v>7620</v>
      </c>
      <c r="C959" s="1">
        <v>1850</v>
      </c>
    </row>
    <row r="960" spans="1:3" x14ac:dyDescent="0.25">
      <c r="A960" s="1">
        <v>3149</v>
      </c>
      <c r="B960" s="1">
        <v>7984</v>
      </c>
      <c r="C960" s="1">
        <v>1850</v>
      </c>
    </row>
    <row r="961" spans="1:3" x14ac:dyDescent="0.25">
      <c r="A961" s="1">
        <v>2316</v>
      </c>
      <c r="B961" s="1">
        <v>8264</v>
      </c>
      <c r="C961" s="1">
        <v>1850</v>
      </c>
    </row>
    <row r="962" spans="1:3" x14ac:dyDescent="0.25">
      <c r="A962" s="1">
        <v>1446</v>
      </c>
      <c r="B962" s="1">
        <v>8460</v>
      </c>
      <c r="C962" s="1">
        <v>1850</v>
      </c>
    </row>
    <row r="963" spans="1:3" x14ac:dyDescent="0.25">
      <c r="A963" t="s">
        <v>15</v>
      </c>
      <c r="B963" s="1">
        <v>8539</v>
      </c>
      <c r="C963" s="1">
        <v>1850</v>
      </c>
    </row>
    <row r="964" spans="1:3" x14ac:dyDescent="0.25">
      <c r="A964" t="s">
        <v>14</v>
      </c>
      <c r="B964" s="1">
        <v>8579</v>
      </c>
      <c r="C964" s="1">
        <v>1850</v>
      </c>
    </row>
    <row r="965" spans="1:3" x14ac:dyDescent="0.25">
      <c r="A965" s="1">
        <v>-8464</v>
      </c>
      <c r="B965" s="1">
        <v>8584</v>
      </c>
      <c r="C965" s="1">
        <v>1850</v>
      </c>
    </row>
    <row r="966" spans="1:3" x14ac:dyDescent="0.25">
      <c r="A966" s="1">
        <v>-9600</v>
      </c>
      <c r="B966" s="1">
        <v>9600</v>
      </c>
      <c r="C966" s="1">
        <v>1850</v>
      </c>
    </row>
    <row r="967" spans="1:3" x14ac:dyDescent="0.25">
      <c r="A967" s="1">
        <v>-9600</v>
      </c>
      <c r="B967" s="1">
        <v>-9600</v>
      </c>
      <c r="C967" s="1">
        <v>1850</v>
      </c>
    </row>
    <row r="968" spans="1:3" x14ac:dyDescent="0.25">
      <c r="A968" t="s">
        <v>43</v>
      </c>
      <c r="B968" s="1">
        <v>-9598</v>
      </c>
      <c r="C968" s="1">
        <v>1850</v>
      </c>
    </row>
    <row r="969" spans="1:3" x14ac:dyDescent="0.25">
      <c r="A969" t="s">
        <v>3</v>
      </c>
      <c r="B969" s="1">
        <v>-9577</v>
      </c>
      <c r="C969" s="1">
        <v>1850</v>
      </c>
    </row>
    <row r="970" spans="1:3" x14ac:dyDescent="0.25">
      <c r="A970" s="1">
        <v>1307</v>
      </c>
      <c r="B970" s="1">
        <v>-9510</v>
      </c>
      <c r="C970" s="1">
        <v>1850</v>
      </c>
    </row>
    <row r="971" spans="1:3" x14ac:dyDescent="0.25">
      <c r="A971" s="1">
        <v>1953</v>
      </c>
      <c r="B971" s="1">
        <v>-9399</v>
      </c>
      <c r="C971" s="1">
        <v>1850</v>
      </c>
    </row>
    <row r="972" spans="1:3" x14ac:dyDescent="0.25">
      <c r="A972" s="1">
        <v>2590</v>
      </c>
      <c r="B972" s="1">
        <v>-9244</v>
      </c>
      <c r="C972" s="1">
        <v>1850</v>
      </c>
    </row>
    <row r="973" spans="1:3" x14ac:dyDescent="0.25">
      <c r="A973" s="1">
        <v>3215</v>
      </c>
      <c r="B973" s="1">
        <v>-9045</v>
      </c>
      <c r="C973" s="1">
        <v>1850</v>
      </c>
    </row>
    <row r="974" spans="1:3" x14ac:dyDescent="0.25">
      <c r="A974" s="1">
        <v>3821</v>
      </c>
      <c r="B974" s="1">
        <v>-8806</v>
      </c>
      <c r="C974" s="1">
        <v>1850</v>
      </c>
    </row>
    <row r="975" spans="1:3" x14ac:dyDescent="0.25">
      <c r="A975" s="1">
        <v>4705</v>
      </c>
      <c r="B975" s="1">
        <v>-8367</v>
      </c>
      <c r="C975" s="1">
        <v>1850</v>
      </c>
    </row>
    <row r="976" spans="1:3" x14ac:dyDescent="0.25">
      <c r="A976" s="1">
        <v>5539</v>
      </c>
      <c r="B976" s="1">
        <v>-7841</v>
      </c>
      <c r="C976" s="1">
        <v>1850</v>
      </c>
    </row>
    <row r="977" spans="1:3" x14ac:dyDescent="0.25">
      <c r="A977" s="1">
        <v>6058</v>
      </c>
      <c r="B977" s="1">
        <v>-7447</v>
      </c>
      <c r="C977" s="1">
        <v>1850</v>
      </c>
    </row>
    <row r="978" spans="1:3" x14ac:dyDescent="0.25">
      <c r="A978" s="1">
        <v>6552</v>
      </c>
      <c r="B978" s="1">
        <v>-7016</v>
      </c>
      <c r="C978" s="1">
        <v>1850</v>
      </c>
    </row>
    <row r="979" spans="1:3" x14ac:dyDescent="0.25">
      <c r="A979" s="1">
        <v>7016</v>
      </c>
      <c r="B979" s="1">
        <v>-6552</v>
      </c>
      <c r="C979" s="1">
        <v>1850</v>
      </c>
    </row>
    <row r="980" spans="1:3" x14ac:dyDescent="0.25">
      <c r="A980" s="1">
        <v>7447</v>
      </c>
      <c r="B980" s="1">
        <v>-6058</v>
      </c>
      <c r="C980" s="1">
        <v>1850</v>
      </c>
    </row>
    <row r="981" spans="1:3" x14ac:dyDescent="0.25">
      <c r="A981" s="1">
        <v>7843</v>
      </c>
      <c r="B981" s="1">
        <v>-5536</v>
      </c>
      <c r="C981" s="1">
        <v>1850</v>
      </c>
    </row>
    <row r="982" spans="1:3" x14ac:dyDescent="0.25">
      <c r="A982" s="1">
        <v>8202</v>
      </c>
      <c r="B982" s="1">
        <v>-4988</v>
      </c>
      <c r="C982" s="1">
        <v>1850</v>
      </c>
    </row>
    <row r="983" spans="1:3" x14ac:dyDescent="0.25">
      <c r="A983" s="1">
        <v>8524</v>
      </c>
      <c r="B983" s="1">
        <v>-4415</v>
      </c>
      <c r="C983" s="1">
        <v>1850</v>
      </c>
    </row>
    <row r="984" spans="1:3" x14ac:dyDescent="0.25">
      <c r="A984" s="1">
        <v>8715</v>
      </c>
      <c r="B984" s="1">
        <v>-4023</v>
      </c>
      <c r="C984" s="1">
        <v>1850</v>
      </c>
    </row>
    <row r="985" spans="1:3" x14ac:dyDescent="0.25">
      <c r="A985" s="1">
        <v>8930</v>
      </c>
      <c r="B985" s="1">
        <v>-3522</v>
      </c>
      <c r="C985" s="1">
        <v>1850</v>
      </c>
    </row>
    <row r="986" spans="1:3" x14ac:dyDescent="0.25">
      <c r="A986" s="1">
        <v>9150</v>
      </c>
      <c r="B986" s="1">
        <v>-2904</v>
      </c>
      <c r="C986" s="1">
        <v>1850</v>
      </c>
    </row>
    <row r="987" spans="1:3" x14ac:dyDescent="0.25">
      <c r="A987" s="1">
        <v>9327</v>
      </c>
      <c r="B987" s="1">
        <v>-2273</v>
      </c>
      <c r="C987" s="1">
        <v>1850</v>
      </c>
    </row>
    <row r="988" spans="1:3" x14ac:dyDescent="0.25">
      <c r="A988" s="1">
        <v>9460</v>
      </c>
      <c r="B988" s="1">
        <v>-1631</v>
      </c>
      <c r="C988" s="1">
        <v>1850</v>
      </c>
    </row>
    <row r="989" spans="1:3" x14ac:dyDescent="0.25">
      <c r="A989" s="1">
        <v>9549</v>
      </c>
      <c r="B989">
        <f>0.982</f>
        <v>0.98199999999999998</v>
      </c>
      <c r="C989" s="1">
        <v>1850</v>
      </c>
    </row>
    <row r="990" spans="1:3" x14ac:dyDescent="0.25">
      <c r="A990" s="1">
        <v>9594</v>
      </c>
      <c r="B990">
        <f>0.328</f>
        <v>0.32800000000000001</v>
      </c>
      <c r="C990" s="1">
        <v>1850</v>
      </c>
    </row>
    <row r="991" spans="1:3" x14ac:dyDescent="0.25">
      <c r="A991" s="1">
        <v>9594</v>
      </c>
      <c r="B991">
        <v>0.32800000000000001</v>
      </c>
      <c r="C991" s="1">
        <v>1850</v>
      </c>
    </row>
    <row r="992" spans="1:3" x14ac:dyDescent="0.25">
      <c r="A992" s="1">
        <v>9549</v>
      </c>
      <c r="B992">
        <v>0.98199999999999998</v>
      </c>
      <c r="C992" s="1">
        <v>1850</v>
      </c>
    </row>
    <row r="993" spans="1:3" x14ac:dyDescent="0.25">
      <c r="A993" s="1">
        <v>9460</v>
      </c>
      <c r="B993" s="1">
        <v>1631</v>
      </c>
      <c r="C993" s="1">
        <v>1850</v>
      </c>
    </row>
    <row r="994" spans="1:3" x14ac:dyDescent="0.25">
      <c r="A994" s="1">
        <v>9328</v>
      </c>
      <c r="B994" s="1">
        <v>2270</v>
      </c>
      <c r="C994" s="1">
        <v>1850</v>
      </c>
    </row>
    <row r="995" spans="1:3" x14ac:dyDescent="0.25">
      <c r="A995" s="1">
        <v>9044</v>
      </c>
      <c r="B995" s="1">
        <v>3218</v>
      </c>
      <c r="C995" s="1">
        <v>1850</v>
      </c>
    </row>
    <row r="996" spans="1:3" x14ac:dyDescent="0.25">
      <c r="A996" s="1">
        <v>8805</v>
      </c>
      <c r="B996" s="1">
        <v>3825</v>
      </c>
      <c r="C996" s="1">
        <v>1850</v>
      </c>
    </row>
    <row r="997" spans="1:3" x14ac:dyDescent="0.25">
      <c r="A997" s="1">
        <v>8525</v>
      </c>
      <c r="B997" s="1">
        <v>4413</v>
      </c>
      <c r="C997" s="1">
        <v>1850</v>
      </c>
    </row>
    <row r="998" spans="1:3" x14ac:dyDescent="0.25">
      <c r="A998" s="1">
        <v>8027</v>
      </c>
      <c r="B998" s="1">
        <v>5265</v>
      </c>
      <c r="C998" s="1">
        <v>1850</v>
      </c>
    </row>
    <row r="999" spans="1:3" x14ac:dyDescent="0.25">
      <c r="A999" s="1">
        <v>7446</v>
      </c>
      <c r="B999" s="1">
        <v>6058</v>
      </c>
      <c r="C999" s="1">
        <v>1850</v>
      </c>
    </row>
    <row r="1000" spans="1:3" x14ac:dyDescent="0.25">
      <c r="A1000" s="1">
        <v>6788</v>
      </c>
      <c r="B1000" s="1">
        <v>6788</v>
      </c>
      <c r="C1000" s="1">
        <v>1850</v>
      </c>
    </row>
    <row r="1001" spans="1:3" x14ac:dyDescent="0.25">
      <c r="A1001" s="1">
        <v>6058</v>
      </c>
      <c r="B1001" s="1">
        <v>7446</v>
      </c>
      <c r="C1001" s="1">
        <v>1850</v>
      </c>
    </row>
    <row r="1002" spans="1:3" x14ac:dyDescent="0.25">
      <c r="A1002" s="1">
        <v>5265</v>
      </c>
      <c r="B1002" s="1">
        <v>8027</v>
      </c>
      <c r="C1002" s="1">
        <v>1850</v>
      </c>
    </row>
    <row r="1003" spans="1:3" x14ac:dyDescent="0.25">
      <c r="A1003" s="1">
        <v>4416</v>
      </c>
      <c r="B1003" s="1">
        <v>8523</v>
      </c>
      <c r="C1003" s="1">
        <v>1850</v>
      </c>
    </row>
    <row r="1004" spans="1:3" x14ac:dyDescent="0.25">
      <c r="A1004" s="1">
        <v>3522</v>
      </c>
      <c r="B1004" s="1">
        <v>8930</v>
      </c>
      <c r="C1004" s="1">
        <v>1850</v>
      </c>
    </row>
    <row r="1005" spans="1:3" x14ac:dyDescent="0.25">
      <c r="A1005" s="1">
        <v>2590</v>
      </c>
      <c r="B1005" s="1">
        <v>9244</v>
      </c>
      <c r="C1005" s="1">
        <v>1850</v>
      </c>
    </row>
    <row r="1006" spans="1:3" x14ac:dyDescent="0.25">
      <c r="A1006" s="1">
        <v>1628</v>
      </c>
      <c r="B1006" s="1">
        <v>9461</v>
      </c>
      <c r="C1006" s="1">
        <v>1850</v>
      </c>
    </row>
    <row r="1007" spans="1:3" x14ac:dyDescent="0.25">
      <c r="A1007" t="s">
        <v>18</v>
      </c>
      <c r="B1007" s="1">
        <v>9549</v>
      </c>
      <c r="C1007" s="1">
        <v>1850</v>
      </c>
    </row>
    <row r="1008" spans="1:3" x14ac:dyDescent="0.25">
      <c r="A1008" t="s">
        <v>17</v>
      </c>
      <c r="B1008" s="1">
        <v>9594</v>
      </c>
      <c r="C1008" s="1">
        <v>1850</v>
      </c>
    </row>
    <row r="1009" spans="1:3" x14ac:dyDescent="0.25">
      <c r="A1009" s="1">
        <v>-9480</v>
      </c>
      <c r="B1009" s="1">
        <v>9600</v>
      </c>
      <c r="C1009" s="1">
        <v>1850</v>
      </c>
    </row>
    <row r="1010" spans="1:3" x14ac:dyDescent="0.25">
      <c r="A1010" s="1">
        <v>-9201</v>
      </c>
      <c r="B1010" s="1">
        <v>8906</v>
      </c>
      <c r="C1010" s="1">
        <v>1850</v>
      </c>
    </row>
    <row r="1011" spans="1:3" x14ac:dyDescent="0.25">
      <c r="A1011" s="1">
        <v>-1765</v>
      </c>
      <c r="B1011" s="1">
        <v>6588</v>
      </c>
      <c r="C1011" s="1">
        <v>1850</v>
      </c>
    </row>
    <row r="1012" spans="1:3" x14ac:dyDescent="0.25">
      <c r="A1012" s="1">
        <v>1712</v>
      </c>
      <c r="B1012" s="1">
        <v>-6391</v>
      </c>
      <c r="C1012" s="1">
        <v>1850</v>
      </c>
    </row>
    <row r="1013" spans="1:3" x14ac:dyDescent="0.25">
      <c r="A1013" s="1">
        <v>3522</v>
      </c>
      <c r="B1013" s="1">
        <v>3522</v>
      </c>
      <c r="C1013" s="1">
        <v>1850</v>
      </c>
    </row>
    <row r="1014" spans="1:3" x14ac:dyDescent="0.25">
      <c r="A1014" s="1">
        <v>3920</v>
      </c>
      <c r="B1014" s="1">
        <v>3081</v>
      </c>
      <c r="C1014" s="1">
        <v>1850</v>
      </c>
    </row>
    <row r="1015" spans="1:3" x14ac:dyDescent="0.25">
      <c r="A1015" s="1">
        <v>4270</v>
      </c>
      <c r="B1015" s="1">
        <v>2602</v>
      </c>
      <c r="C1015" s="1">
        <v>1850</v>
      </c>
    </row>
    <row r="1016" spans="1:3" x14ac:dyDescent="0.25">
      <c r="A1016" s="1">
        <v>4588</v>
      </c>
      <c r="B1016" s="1">
        <v>2059</v>
      </c>
      <c r="C1016" s="1">
        <v>1850</v>
      </c>
    </row>
    <row r="1017" spans="1:3" x14ac:dyDescent="0.25">
      <c r="A1017" s="1">
        <v>4743</v>
      </c>
      <c r="B1017" s="1">
        <v>1733</v>
      </c>
      <c r="C1017" s="1">
        <v>1850</v>
      </c>
    </row>
    <row r="1018" spans="1:3" x14ac:dyDescent="0.25">
      <c r="A1018" s="1">
        <v>4875</v>
      </c>
      <c r="B1018" s="1">
        <v>1398</v>
      </c>
      <c r="C1018" s="1">
        <v>1850</v>
      </c>
    </row>
    <row r="1019" spans="1:3" x14ac:dyDescent="0.25">
      <c r="A1019" s="1">
        <v>5065</v>
      </c>
      <c r="B1019">
        <v>0.76100000000000001</v>
      </c>
      <c r="C1019" s="1">
        <v>1850</v>
      </c>
    </row>
    <row r="1020" spans="1:3" x14ac:dyDescent="0.25">
      <c r="A1020" s="1">
        <v>5139</v>
      </c>
      <c r="B1020">
        <v>0.40799999999999997</v>
      </c>
      <c r="C1020" s="1">
        <v>1850</v>
      </c>
    </row>
    <row r="1021" spans="1:3" x14ac:dyDescent="0.25">
      <c r="A1021" s="1">
        <v>5193</v>
      </c>
      <c r="B1021">
        <v>1.4999999999999999E-2</v>
      </c>
      <c r="C1021" s="1">
        <v>1850</v>
      </c>
    </row>
    <row r="1022" spans="1:3" x14ac:dyDescent="0.25">
      <c r="A1022" s="1">
        <v>5220</v>
      </c>
      <c r="B1022">
        <f>0.38</f>
        <v>0.38</v>
      </c>
      <c r="C1022" s="1">
        <v>1850</v>
      </c>
    </row>
    <row r="1023" spans="1:3" x14ac:dyDescent="0.25">
      <c r="A1023" s="1">
        <v>5220</v>
      </c>
      <c r="B1023">
        <f>0.776</f>
        <v>0.77600000000000002</v>
      </c>
      <c r="C1023" s="1">
        <v>1850</v>
      </c>
    </row>
    <row r="1024" spans="1:3" x14ac:dyDescent="0.25">
      <c r="A1024" s="1">
        <v>5193</v>
      </c>
      <c r="B1024" s="1">
        <v>-1171</v>
      </c>
      <c r="C1024" s="1">
        <v>1850</v>
      </c>
    </row>
    <row r="1025" spans="1:3" x14ac:dyDescent="0.25">
      <c r="A1025" s="1">
        <v>5139</v>
      </c>
      <c r="B1025" s="1">
        <v>-1563</v>
      </c>
      <c r="C1025" s="1">
        <v>1850</v>
      </c>
    </row>
    <row r="1026" spans="1:3" x14ac:dyDescent="0.25">
      <c r="A1026" s="1">
        <v>5058</v>
      </c>
      <c r="B1026" s="1">
        <v>-1951</v>
      </c>
      <c r="C1026" s="1">
        <v>1850</v>
      </c>
    </row>
    <row r="1027" spans="1:3" x14ac:dyDescent="0.25">
      <c r="A1027" s="1">
        <v>4951</v>
      </c>
      <c r="B1027" s="1">
        <v>-2333</v>
      </c>
      <c r="C1027" s="1">
        <v>1850</v>
      </c>
    </row>
    <row r="1028" spans="1:3" x14ac:dyDescent="0.25">
      <c r="A1028" s="1">
        <v>4816</v>
      </c>
      <c r="B1028" s="1">
        <v>-2713</v>
      </c>
      <c r="C1028" s="1">
        <v>1850</v>
      </c>
    </row>
    <row r="1029" spans="1:3" x14ac:dyDescent="0.25">
      <c r="A1029" s="1">
        <v>4695</v>
      </c>
      <c r="B1029" s="1">
        <v>-2994</v>
      </c>
      <c r="C1029" s="1">
        <v>1850</v>
      </c>
    </row>
    <row r="1030" spans="1:3" x14ac:dyDescent="0.25">
      <c r="A1030" s="1">
        <v>4369</v>
      </c>
      <c r="B1030" s="1">
        <v>-3606</v>
      </c>
      <c r="C1030" s="1">
        <v>1850</v>
      </c>
    </row>
    <row r="1031" spans="1:3" x14ac:dyDescent="0.25">
      <c r="A1031" s="1">
        <v>4161</v>
      </c>
      <c r="B1031" s="1">
        <v>-3923</v>
      </c>
      <c r="C1031" s="1">
        <v>1850</v>
      </c>
    </row>
    <row r="1032" spans="1:3" x14ac:dyDescent="0.25">
      <c r="A1032" s="1">
        <v>3922</v>
      </c>
      <c r="B1032" s="1">
        <v>-4239</v>
      </c>
      <c r="C1032" s="1">
        <v>1850</v>
      </c>
    </row>
    <row r="1033" spans="1:3" x14ac:dyDescent="0.25">
      <c r="A1033" s="1">
        <v>3662</v>
      </c>
      <c r="B1033" s="1">
        <v>-4537</v>
      </c>
      <c r="C1033" s="1">
        <v>1850</v>
      </c>
    </row>
    <row r="1034" spans="1:3" x14ac:dyDescent="0.25">
      <c r="A1034" s="1">
        <v>3382</v>
      </c>
      <c r="B1034" s="1">
        <v>-4817</v>
      </c>
      <c r="C1034" s="1">
        <v>1850</v>
      </c>
    </row>
    <row r="1035" spans="1:3" x14ac:dyDescent="0.25">
      <c r="A1035" s="1">
        <v>3083</v>
      </c>
      <c r="B1035" s="1">
        <v>-5077</v>
      </c>
      <c r="C1035" s="1">
        <v>1850</v>
      </c>
    </row>
    <row r="1036" spans="1:3" x14ac:dyDescent="0.25">
      <c r="A1036" s="1">
        <v>2796</v>
      </c>
      <c r="B1036" s="1">
        <v>-5295</v>
      </c>
      <c r="C1036" s="1">
        <v>1850</v>
      </c>
    </row>
    <row r="1037" spans="1:3" x14ac:dyDescent="0.25">
      <c r="A1037" s="1">
        <v>2264</v>
      </c>
      <c r="B1037" s="1">
        <v>-5631</v>
      </c>
      <c r="C1037" s="1">
        <v>1850</v>
      </c>
    </row>
    <row r="1038" spans="1:3" x14ac:dyDescent="0.25">
      <c r="A1038" s="1">
        <v>1700</v>
      </c>
      <c r="B1038" s="1">
        <v>-5911</v>
      </c>
      <c r="C1038" s="1">
        <v>1850</v>
      </c>
    </row>
    <row r="1039" spans="1:3" x14ac:dyDescent="0.25">
      <c r="A1039" s="1">
        <v>1365</v>
      </c>
      <c r="B1039" s="1">
        <v>-6044</v>
      </c>
      <c r="C1039" s="1">
        <v>1850</v>
      </c>
    </row>
    <row r="1040" spans="1:3" x14ac:dyDescent="0.25">
      <c r="A1040" t="s">
        <v>9</v>
      </c>
      <c r="B1040" s="1">
        <v>-6163</v>
      </c>
      <c r="C1040" s="1">
        <v>1850</v>
      </c>
    </row>
    <row r="1041" spans="1:3" x14ac:dyDescent="0.25">
      <c r="A1041" t="s">
        <v>33</v>
      </c>
      <c r="B1041" s="1">
        <v>-6257</v>
      </c>
      <c r="C1041" s="1">
        <v>1850</v>
      </c>
    </row>
    <row r="1042" spans="1:3" x14ac:dyDescent="0.25">
      <c r="A1042" t="s">
        <v>34</v>
      </c>
      <c r="B1042" s="1">
        <v>-6324</v>
      </c>
      <c r="C1042" s="1">
        <v>1850</v>
      </c>
    </row>
    <row r="1043" spans="1:3" x14ac:dyDescent="0.25">
      <c r="A1043" t="e" vm="6">
        <f>_FV(0,"541")</f>
        <v>#VALUE!</v>
      </c>
      <c r="B1043" s="1">
        <v>-6379</v>
      </c>
      <c r="C1043" s="1">
        <v>1850</v>
      </c>
    </row>
    <row r="1044" spans="1:3" x14ac:dyDescent="0.25">
      <c r="A1044" s="1">
        <v>-6380</v>
      </c>
      <c r="B1044" s="1">
        <v>-6380</v>
      </c>
      <c r="C1044" s="1">
        <v>1850</v>
      </c>
    </row>
    <row r="1045" spans="1:3" x14ac:dyDescent="0.25">
      <c r="A1045" s="1">
        <v>4677</v>
      </c>
      <c r="B1045" s="1">
        <v>4677</v>
      </c>
      <c r="C1045" s="1">
        <v>1850</v>
      </c>
    </row>
    <row r="1046" spans="1:3" x14ac:dyDescent="0.25">
      <c r="A1046" s="1">
        <v>4677</v>
      </c>
      <c r="B1046" s="1">
        <v>4677</v>
      </c>
      <c r="C1046" s="1">
        <v>2150</v>
      </c>
    </row>
    <row r="1047" spans="1:3" x14ac:dyDescent="0.25">
      <c r="A1047" s="1">
        <v>-7289</v>
      </c>
      <c r="B1047" s="1">
        <v>7287</v>
      </c>
      <c r="C1047" s="1">
        <v>2150</v>
      </c>
    </row>
    <row r="1048" spans="1:3" x14ac:dyDescent="0.25">
      <c r="A1048" s="1">
        <v>-7289</v>
      </c>
      <c r="B1048" s="1">
        <v>-7288</v>
      </c>
      <c r="C1048" s="1">
        <v>2150</v>
      </c>
    </row>
    <row r="1049" spans="1:3" x14ac:dyDescent="0.25">
      <c r="A1049" t="s">
        <v>44</v>
      </c>
      <c r="B1049" s="1">
        <v>-7286</v>
      </c>
      <c r="C1049" s="1">
        <v>2150</v>
      </c>
    </row>
    <row r="1050" spans="1:3" x14ac:dyDescent="0.25">
      <c r="A1050" t="s">
        <v>45</v>
      </c>
      <c r="B1050" s="1">
        <v>-7271</v>
      </c>
      <c r="C1050" s="1">
        <v>2150</v>
      </c>
    </row>
    <row r="1051" spans="1:3" x14ac:dyDescent="0.25">
      <c r="A1051" t="s">
        <v>11</v>
      </c>
      <c r="B1051" s="1">
        <v>-7219</v>
      </c>
      <c r="C1051" s="1">
        <v>2150</v>
      </c>
    </row>
    <row r="1052" spans="1:3" x14ac:dyDescent="0.25">
      <c r="A1052" s="1">
        <v>1483</v>
      </c>
      <c r="B1052" s="1">
        <v>-7135</v>
      </c>
      <c r="C1052" s="1">
        <v>2150</v>
      </c>
    </row>
    <row r="1053" spans="1:3" x14ac:dyDescent="0.25">
      <c r="A1053" s="1">
        <v>1966</v>
      </c>
      <c r="B1053" s="1">
        <v>-7017</v>
      </c>
      <c r="C1053" s="1">
        <v>2150</v>
      </c>
    </row>
    <row r="1054" spans="1:3" x14ac:dyDescent="0.25">
      <c r="A1054" s="1">
        <v>2450</v>
      </c>
      <c r="B1054" s="1">
        <v>-6863</v>
      </c>
      <c r="C1054" s="1">
        <v>2150</v>
      </c>
    </row>
    <row r="1055" spans="1:3" x14ac:dyDescent="0.25">
      <c r="A1055" s="1">
        <v>3125</v>
      </c>
      <c r="B1055" s="1">
        <v>-6584</v>
      </c>
      <c r="C1055" s="1">
        <v>2150</v>
      </c>
    </row>
    <row r="1056" spans="1:3" x14ac:dyDescent="0.25">
      <c r="A1056" s="1">
        <v>3551</v>
      </c>
      <c r="B1056" s="1">
        <v>-6363</v>
      </c>
      <c r="C1056" s="1">
        <v>2150</v>
      </c>
    </row>
    <row r="1057" spans="1:3" x14ac:dyDescent="0.25">
      <c r="A1057" s="1">
        <v>4221</v>
      </c>
      <c r="B1057" s="1">
        <v>-5939</v>
      </c>
      <c r="C1057" s="1">
        <v>2150</v>
      </c>
    </row>
    <row r="1058" spans="1:3" x14ac:dyDescent="0.25">
      <c r="A1058" s="1">
        <v>4599</v>
      </c>
      <c r="B1058" s="1">
        <v>-5653</v>
      </c>
      <c r="C1058" s="1">
        <v>2150</v>
      </c>
    </row>
    <row r="1059" spans="1:3" x14ac:dyDescent="0.25">
      <c r="A1059" s="1">
        <v>4974</v>
      </c>
      <c r="B1059" s="1">
        <v>-5326</v>
      </c>
      <c r="C1059" s="1">
        <v>2150</v>
      </c>
    </row>
    <row r="1060" spans="1:3" x14ac:dyDescent="0.25">
      <c r="A1060" s="1">
        <v>5326</v>
      </c>
      <c r="B1060" s="1">
        <v>-4974</v>
      </c>
      <c r="C1060" s="1">
        <v>2150</v>
      </c>
    </row>
    <row r="1061" spans="1:3" x14ac:dyDescent="0.25">
      <c r="A1061" s="1">
        <v>5653</v>
      </c>
      <c r="B1061" s="1">
        <v>-4599</v>
      </c>
      <c r="C1061" s="1">
        <v>2150</v>
      </c>
    </row>
    <row r="1062" spans="1:3" x14ac:dyDescent="0.25">
      <c r="A1062" s="1">
        <v>5953</v>
      </c>
      <c r="B1062" s="1">
        <v>-4202</v>
      </c>
      <c r="C1062" s="1">
        <v>2150</v>
      </c>
    </row>
    <row r="1063" spans="1:3" x14ac:dyDescent="0.25">
      <c r="A1063" s="1">
        <v>6226</v>
      </c>
      <c r="B1063" s="1">
        <v>-3786</v>
      </c>
      <c r="C1063" s="1">
        <v>2150</v>
      </c>
    </row>
    <row r="1064" spans="1:3" x14ac:dyDescent="0.25">
      <c r="A1064" s="1">
        <v>6470</v>
      </c>
      <c r="B1064" s="1">
        <v>-3353</v>
      </c>
      <c r="C1064" s="1">
        <v>2150</v>
      </c>
    </row>
    <row r="1065" spans="1:3" x14ac:dyDescent="0.25">
      <c r="A1065" s="1">
        <v>6684</v>
      </c>
      <c r="B1065" s="1">
        <v>-2903</v>
      </c>
      <c r="C1065" s="1">
        <v>2150</v>
      </c>
    </row>
    <row r="1066" spans="1:3" x14ac:dyDescent="0.25">
      <c r="A1066" s="1">
        <v>6866</v>
      </c>
      <c r="B1066" s="1">
        <v>-2440</v>
      </c>
      <c r="C1066" s="1">
        <v>2150</v>
      </c>
    </row>
    <row r="1067" spans="1:3" x14ac:dyDescent="0.25">
      <c r="A1067" s="1">
        <v>7010</v>
      </c>
      <c r="B1067" s="1">
        <v>-1988</v>
      </c>
      <c r="C1067" s="1">
        <v>2150</v>
      </c>
    </row>
    <row r="1068" spans="1:3" x14ac:dyDescent="0.25">
      <c r="A1068" s="1">
        <v>7184</v>
      </c>
      <c r="B1068" s="1">
        <v>-1215</v>
      </c>
      <c r="C1068" s="1">
        <v>2150</v>
      </c>
    </row>
    <row r="1069" spans="1:3" x14ac:dyDescent="0.25">
      <c r="A1069" s="1">
        <v>7249</v>
      </c>
      <c r="B1069">
        <f>0.745</f>
        <v>0.745</v>
      </c>
      <c r="C1069" s="1">
        <v>2150</v>
      </c>
    </row>
    <row r="1070" spans="1:3" x14ac:dyDescent="0.25">
      <c r="A1070" s="1">
        <v>7283</v>
      </c>
      <c r="B1070">
        <f>0.249</f>
        <v>0.249</v>
      </c>
      <c r="C1070" s="1">
        <v>2150</v>
      </c>
    </row>
    <row r="1071" spans="1:3" x14ac:dyDescent="0.25">
      <c r="A1071" s="1">
        <v>7283</v>
      </c>
      <c r="B1071">
        <v>0.249</v>
      </c>
      <c r="C1071" s="1">
        <v>2150</v>
      </c>
    </row>
    <row r="1072" spans="1:3" x14ac:dyDescent="0.25">
      <c r="A1072" s="1">
        <v>7249</v>
      </c>
      <c r="B1072">
        <v>0.745</v>
      </c>
      <c r="C1072" s="1">
        <v>2150</v>
      </c>
    </row>
    <row r="1073" spans="1:3" x14ac:dyDescent="0.25">
      <c r="A1073" s="1">
        <v>7181</v>
      </c>
      <c r="B1073" s="1">
        <v>1238</v>
      </c>
      <c r="C1073" s="1">
        <v>2150</v>
      </c>
    </row>
    <row r="1074" spans="1:3" x14ac:dyDescent="0.25">
      <c r="A1074" s="1">
        <v>7080</v>
      </c>
      <c r="B1074" s="1">
        <v>1725</v>
      </c>
      <c r="C1074" s="1">
        <v>2150</v>
      </c>
    </row>
    <row r="1075" spans="1:3" x14ac:dyDescent="0.25">
      <c r="A1075" s="1">
        <v>6834</v>
      </c>
      <c r="B1075" s="1">
        <v>2529</v>
      </c>
      <c r="C1075" s="1">
        <v>2150</v>
      </c>
    </row>
    <row r="1076" spans="1:3" x14ac:dyDescent="0.25">
      <c r="A1076" s="1">
        <v>6686</v>
      </c>
      <c r="B1076" s="1">
        <v>2898</v>
      </c>
      <c r="C1076" s="1">
        <v>2150</v>
      </c>
    </row>
    <row r="1077" spans="1:3" x14ac:dyDescent="0.25">
      <c r="A1077" s="1">
        <v>6480</v>
      </c>
      <c r="B1077" s="1">
        <v>3332</v>
      </c>
      <c r="C1077" s="1">
        <v>2150</v>
      </c>
    </row>
    <row r="1078" spans="1:3" x14ac:dyDescent="0.25">
      <c r="A1078" s="1">
        <v>6092</v>
      </c>
      <c r="B1078" s="1">
        <v>3996</v>
      </c>
      <c r="C1078" s="1">
        <v>2150</v>
      </c>
    </row>
    <row r="1079" spans="1:3" x14ac:dyDescent="0.25">
      <c r="A1079" s="1">
        <v>5651</v>
      </c>
      <c r="B1079" s="1">
        <v>4598</v>
      </c>
      <c r="C1079" s="1">
        <v>2150</v>
      </c>
    </row>
    <row r="1080" spans="1:3" x14ac:dyDescent="0.25">
      <c r="A1080" s="1">
        <v>5151</v>
      </c>
      <c r="B1080" s="1">
        <v>5151</v>
      </c>
      <c r="C1080" s="1">
        <v>2150</v>
      </c>
    </row>
    <row r="1081" spans="1:3" x14ac:dyDescent="0.25">
      <c r="A1081" s="1">
        <v>4598</v>
      </c>
      <c r="B1081" s="1">
        <v>5651</v>
      </c>
      <c r="C1081" s="1">
        <v>2150</v>
      </c>
    </row>
    <row r="1082" spans="1:3" x14ac:dyDescent="0.25">
      <c r="A1082" s="1">
        <v>3996</v>
      </c>
      <c r="B1082" s="1">
        <v>6092</v>
      </c>
      <c r="C1082" s="1">
        <v>2150</v>
      </c>
    </row>
    <row r="1083" spans="1:3" x14ac:dyDescent="0.25">
      <c r="A1083" s="1">
        <v>3352</v>
      </c>
      <c r="B1083" s="1">
        <v>6468</v>
      </c>
      <c r="C1083" s="1">
        <v>2150</v>
      </c>
    </row>
    <row r="1084" spans="1:3" x14ac:dyDescent="0.25">
      <c r="A1084" s="1">
        <v>2673</v>
      </c>
      <c r="B1084" s="1">
        <v>6777</v>
      </c>
      <c r="C1084" s="1">
        <v>2150</v>
      </c>
    </row>
    <row r="1085" spans="1:3" x14ac:dyDescent="0.25">
      <c r="A1085" s="1">
        <v>1966</v>
      </c>
      <c r="B1085" s="1">
        <v>7015</v>
      </c>
      <c r="C1085" s="1">
        <v>2150</v>
      </c>
    </row>
    <row r="1086" spans="1:3" x14ac:dyDescent="0.25">
      <c r="A1086" s="1">
        <v>1215</v>
      </c>
      <c r="B1086" s="1">
        <v>7184</v>
      </c>
      <c r="C1086" s="1">
        <v>2150</v>
      </c>
    </row>
    <row r="1087" spans="1:3" x14ac:dyDescent="0.25">
      <c r="A1087" t="s">
        <v>12</v>
      </c>
      <c r="B1087" s="1">
        <v>7249</v>
      </c>
      <c r="C1087" s="1">
        <v>2150</v>
      </c>
    </row>
    <row r="1088" spans="1:3" x14ac:dyDescent="0.25">
      <c r="A1088" t="s">
        <v>13</v>
      </c>
      <c r="B1088" s="1">
        <v>7283</v>
      </c>
      <c r="C1088" s="1">
        <v>2150</v>
      </c>
    </row>
    <row r="1089" spans="1:3" x14ac:dyDescent="0.25">
      <c r="A1089" s="1">
        <v>-7169</v>
      </c>
      <c r="B1089" s="1">
        <v>7287</v>
      </c>
      <c r="C1089" s="1">
        <v>2150</v>
      </c>
    </row>
    <row r="1090" spans="1:3" x14ac:dyDescent="0.25">
      <c r="A1090" s="1">
        <v>-8584</v>
      </c>
      <c r="B1090" s="1">
        <v>8584</v>
      </c>
      <c r="C1090" s="1">
        <v>2150</v>
      </c>
    </row>
    <row r="1091" spans="1:3" x14ac:dyDescent="0.25">
      <c r="A1091" s="1">
        <v>-8584</v>
      </c>
      <c r="B1091" s="1">
        <v>-8584</v>
      </c>
      <c r="C1091" s="1">
        <v>2150</v>
      </c>
    </row>
    <row r="1092" spans="1:3" x14ac:dyDescent="0.25">
      <c r="A1092" t="s">
        <v>43</v>
      </c>
      <c r="B1092" s="1">
        <v>-8582</v>
      </c>
      <c r="C1092" s="1">
        <v>2150</v>
      </c>
    </row>
    <row r="1093" spans="1:3" x14ac:dyDescent="0.25">
      <c r="A1093" t="s">
        <v>42</v>
      </c>
      <c r="B1093" s="1">
        <v>-8564</v>
      </c>
      <c r="C1093" s="1">
        <v>2150</v>
      </c>
    </row>
    <row r="1094" spans="1:3" x14ac:dyDescent="0.25">
      <c r="A1094" s="1">
        <v>1169</v>
      </c>
      <c r="B1094" s="1">
        <v>-8504</v>
      </c>
      <c r="C1094" s="1">
        <v>2150</v>
      </c>
    </row>
    <row r="1095" spans="1:3" x14ac:dyDescent="0.25">
      <c r="A1095" s="1">
        <v>1746</v>
      </c>
      <c r="B1095" s="1">
        <v>-8404</v>
      </c>
      <c r="C1095" s="1">
        <v>2150</v>
      </c>
    </row>
    <row r="1096" spans="1:3" x14ac:dyDescent="0.25">
      <c r="A1096" s="1">
        <v>2316</v>
      </c>
      <c r="B1096" s="1">
        <v>-8265</v>
      </c>
      <c r="C1096" s="1">
        <v>2150</v>
      </c>
    </row>
    <row r="1097" spans="1:3" x14ac:dyDescent="0.25">
      <c r="A1097" s="1">
        <v>2879</v>
      </c>
      <c r="B1097" s="1">
        <v>-8086</v>
      </c>
      <c r="C1097" s="1">
        <v>2150</v>
      </c>
    </row>
    <row r="1098" spans="1:3" x14ac:dyDescent="0.25">
      <c r="A1098" s="1">
        <v>3684</v>
      </c>
      <c r="B1098" s="1">
        <v>-7753</v>
      </c>
      <c r="C1098" s="1">
        <v>2150</v>
      </c>
    </row>
    <row r="1099" spans="1:3" x14ac:dyDescent="0.25">
      <c r="A1099" s="1">
        <v>4196</v>
      </c>
      <c r="B1099" s="1">
        <v>-7488</v>
      </c>
      <c r="C1099" s="1">
        <v>2150</v>
      </c>
    </row>
    <row r="1100" spans="1:3" x14ac:dyDescent="0.25">
      <c r="A1100" s="1">
        <v>4960</v>
      </c>
      <c r="B1100" s="1">
        <v>-7005</v>
      </c>
      <c r="C1100" s="1">
        <v>2150</v>
      </c>
    </row>
    <row r="1101" spans="1:3" x14ac:dyDescent="0.25">
      <c r="A1101" s="1">
        <v>5417</v>
      </c>
      <c r="B1101" s="1">
        <v>-6658</v>
      </c>
      <c r="C1101" s="1">
        <v>2150</v>
      </c>
    </row>
    <row r="1102" spans="1:3" x14ac:dyDescent="0.25">
      <c r="A1102" s="1">
        <v>5859</v>
      </c>
      <c r="B1102" s="1">
        <v>-6273</v>
      </c>
      <c r="C1102" s="1">
        <v>2150</v>
      </c>
    </row>
    <row r="1103" spans="1:3" x14ac:dyDescent="0.25">
      <c r="A1103" s="1">
        <v>6273</v>
      </c>
      <c r="B1103" s="1">
        <v>-5859</v>
      </c>
      <c r="C1103" s="1">
        <v>2150</v>
      </c>
    </row>
    <row r="1104" spans="1:3" x14ac:dyDescent="0.25">
      <c r="A1104" s="1">
        <v>6658</v>
      </c>
      <c r="B1104" s="1">
        <v>-5417</v>
      </c>
      <c r="C1104" s="1">
        <v>2150</v>
      </c>
    </row>
    <row r="1105" spans="1:3" x14ac:dyDescent="0.25">
      <c r="A1105" s="1">
        <v>7013</v>
      </c>
      <c r="B1105" s="1">
        <v>-4950</v>
      </c>
      <c r="C1105" s="1">
        <v>2150</v>
      </c>
    </row>
    <row r="1106" spans="1:3" x14ac:dyDescent="0.25">
      <c r="A1106" s="1">
        <v>7334</v>
      </c>
      <c r="B1106" s="1">
        <v>-4460</v>
      </c>
      <c r="C1106" s="1">
        <v>2150</v>
      </c>
    </row>
    <row r="1107" spans="1:3" x14ac:dyDescent="0.25">
      <c r="A1107" s="1">
        <v>7621</v>
      </c>
      <c r="B1107" s="1">
        <v>-3949</v>
      </c>
      <c r="C1107" s="1">
        <v>2150</v>
      </c>
    </row>
    <row r="1108" spans="1:3" x14ac:dyDescent="0.25">
      <c r="A1108" s="1">
        <v>7873</v>
      </c>
      <c r="B1108" s="1">
        <v>-3420</v>
      </c>
      <c r="C1108" s="1">
        <v>2150</v>
      </c>
    </row>
    <row r="1109" spans="1:3" x14ac:dyDescent="0.25">
      <c r="A1109" s="1">
        <v>8088</v>
      </c>
      <c r="B1109" s="1">
        <v>-2874</v>
      </c>
      <c r="C1109" s="1">
        <v>2150</v>
      </c>
    </row>
    <row r="1110" spans="1:3" x14ac:dyDescent="0.25">
      <c r="A1110" s="1">
        <v>8262</v>
      </c>
      <c r="B1110" s="1">
        <v>-2327</v>
      </c>
      <c r="C1110" s="1">
        <v>2150</v>
      </c>
    </row>
    <row r="1111" spans="1:3" x14ac:dyDescent="0.25">
      <c r="A1111" s="1">
        <v>8460</v>
      </c>
      <c r="B1111" s="1">
        <v>-1446</v>
      </c>
      <c r="C1111" s="1">
        <v>2150</v>
      </c>
    </row>
    <row r="1112" spans="1:3" x14ac:dyDescent="0.25">
      <c r="A1112" s="1">
        <v>8539</v>
      </c>
      <c r="B1112">
        <f>0.878</f>
        <v>0.878</v>
      </c>
      <c r="C1112" s="1">
        <v>2150</v>
      </c>
    </row>
    <row r="1113" spans="1:3" x14ac:dyDescent="0.25">
      <c r="A1113" s="1">
        <v>8579</v>
      </c>
      <c r="B1113">
        <f>0.293</f>
        <v>0.29299999999999998</v>
      </c>
      <c r="C1113" s="1">
        <v>2150</v>
      </c>
    </row>
    <row r="1114" spans="1:3" x14ac:dyDescent="0.25">
      <c r="A1114" s="1">
        <v>8579</v>
      </c>
      <c r="B1114">
        <v>0.29299999999999998</v>
      </c>
      <c r="C1114" s="1">
        <v>2150</v>
      </c>
    </row>
    <row r="1115" spans="1:3" x14ac:dyDescent="0.25">
      <c r="A1115" s="1">
        <v>8539</v>
      </c>
      <c r="B1115">
        <v>0.878</v>
      </c>
      <c r="C1115" s="1">
        <v>2150</v>
      </c>
    </row>
    <row r="1116" spans="1:3" x14ac:dyDescent="0.25">
      <c r="A1116" s="1">
        <v>8459</v>
      </c>
      <c r="B1116" s="1">
        <v>1458</v>
      </c>
      <c r="C1116" s="1">
        <v>2150</v>
      </c>
    </row>
    <row r="1117" spans="1:3" x14ac:dyDescent="0.25">
      <c r="A1117" s="1">
        <v>8339</v>
      </c>
      <c r="B1117" s="1">
        <v>2032</v>
      </c>
      <c r="C1117" s="1">
        <v>2150</v>
      </c>
    </row>
    <row r="1118" spans="1:3" x14ac:dyDescent="0.25">
      <c r="A1118" s="1">
        <v>8180</v>
      </c>
      <c r="B1118" s="1">
        <v>2602</v>
      </c>
      <c r="C1118" s="1">
        <v>2150</v>
      </c>
    </row>
    <row r="1119" spans="1:3" x14ac:dyDescent="0.25">
      <c r="A1119" s="1">
        <v>8048</v>
      </c>
      <c r="B1119" s="1">
        <v>2982</v>
      </c>
      <c r="C1119" s="1">
        <v>2150</v>
      </c>
    </row>
    <row r="1120" spans="1:3" x14ac:dyDescent="0.25">
      <c r="A1120" s="1">
        <v>7874</v>
      </c>
      <c r="B1120" s="1">
        <v>3417</v>
      </c>
      <c r="C1120" s="1">
        <v>2150</v>
      </c>
    </row>
    <row r="1121" spans="1:3" x14ac:dyDescent="0.25">
      <c r="A1121" s="1">
        <v>7626</v>
      </c>
      <c r="B1121" s="1">
        <v>3938</v>
      </c>
      <c r="C1121" s="1">
        <v>2150</v>
      </c>
    </row>
    <row r="1122" spans="1:3" x14ac:dyDescent="0.25">
      <c r="A1122" s="1">
        <v>7177</v>
      </c>
      <c r="B1122" s="1">
        <v>4707</v>
      </c>
      <c r="C1122" s="1">
        <v>2150</v>
      </c>
    </row>
    <row r="1123" spans="1:3" x14ac:dyDescent="0.25">
      <c r="A1123" s="1">
        <v>6658</v>
      </c>
      <c r="B1123" s="1">
        <v>5416</v>
      </c>
      <c r="C1123" s="1">
        <v>2150</v>
      </c>
    </row>
    <row r="1124" spans="1:3" x14ac:dyDescent="0.25">
      <c r="A1124" s="1">
        <v>6069</v>
      </c>
      <c r="B1124" s="1">
        <v>6069</v>
      </c>
      <c r="C1124" s="1">
        <v>2150</v>
      </c>
    </row>
    <row r="1125" spans="1:3" x14ac:dyDescent="0.25">
      <c r="A1125" s="1">
        <v>5416</v>
      </c>
      <c r="B1125" s="1">
        <v>6658</v>
      </c>
      <c r="C1125" s="1">
        <v>2150</v>
      </c>
    </row>
    <row r="1126" spans="1:3" x14ac:dyDescent="0.25">
      <c r="A1126" s="1">
        <v>4707</v>
      </c>
      <c r="B1126" s="1">
        <v>7177</v>
      </c>
      <c r="C1126" s="1">
        <v>2150</v>
      </c>
    </row>
    <row r="1127" spans="1:3" x14ac:dyDescent="0.25">
      <c r="A1127" s="1">
        <v>3949</v>
      </c>
      <c r="B1127" s="1">
        <v>7620</v>
      </c>
      <c r="C1127" s="1">
        <v>2150</v>
      </c>
    </row>
    <row r="1128" spans="1:3" x14ac:dyDescent="0.25">
      <c r="A1128" s="1">
        <v>3149</v>
      </c>
      <c r="B1128" s="1">
        <v>7984</v>
      </c>
      <c r="C1128" s="1">
        <v>2150</v>
      </c>
    </row>
    <row r="1129" spans="1:3" x14ac:dyDescent="0.25">
      <c r="A1129" s="1">
        <v>2316</v>
      </c>
      <c r="B1129" s="1">
        <v>8264</v>
      </c>
      <c r="C1129" s="1">
        <v>2150</v>
      </c>
    </row>
    <row r="1130" spans="1:3" x14ac:dyDescent="0.25">
      <c r="A1130" s="1">
        <v>1446</v>
      </c>
      <c r="B1130" s="1">
        <v>8460</v>
      </c>
      <c r="C1130" s="1">
        <v>2150</v>
      </c>
    </row>
    <row r="1131" spans="1:3" x14ac:dyDescent="0.25">
      <c r="A1131" t="s">
        <v>15</v>
      </c>
      <c r="B1131" s="1">
        <v>8539</v>
      </c>
      <c r="C1131" s="1">
        <v>2150</v>
      </c>
    </row>
    <row r="1132" spans="1:3" x14ac:dyDescent="0.25">
      <c r="A1132" t="s">
        <v>14</v>
      </c>
      <c r="B1132" s="1">
        <v>8579</v>
      </c>
      <c r="C1132" s="1">
        <v>2150</v>
      </c>
    </row>
    <row r="1133" spans="1:3" x14ac:dyDescent="0.25">
      <c r="A1133" s="1">
        <v>-8464</v>
      </c>
      <c r="B1133" s="1">
        <v>8584</v>
      </c>
      <c r="C1133" s="1">
        <v>2150</v>
      </c>
    </row>
    <row r="1134" spans="1:3" x14ac:dyDescent="0.25">
      <c r="A1134" s="1">
        <v>-9600</v>
      </c>
      <c r="B1134" s="1">
        <v>9600</v>
      </c>
      <c r="C1134" s="1">
        <v>2150</v>
      </c>
    </row>
    <row r="1135" spans="1:3" x14ac:dyDescent="0.25">
      <c r="A1135" s="1">
        <v>-9600</v>
      </c>
      <c r="B1135" s="1">
        <v>-9600</v>
      </c>
      <c r="C1135" s="1">
        <v>2150</v>
      </c>
    </row>
    <row r="1136" spans="1:3" x14ac:dyDescent="0.25">
      <c r="A1136" t="s">
        <v>46</v>
      </c>
      <c r="B1136" s="1">
        <v>-9598</v>
      </c>
      <c r="C1136" s="1">
        <v>2150</v>
      </c>
    </row>
    <row r="1137" spans="1:3" x14ac:dyDescent="0.25">
      <c r="A1137" t="s">
        <v>3</v>
      </c>
      <c r="B1137" s="1">
        <v>-9577</v>
      </c>
      <c r="C1137" s="1">
        <v>2150</v>
      </c>
    </row>
    <row r="1138" spans="1:3" x14ac:dyDescent="0.25">
      <c r="A1138" s="1">
        <v>1307</v>
      </c>
      <c r="B1138" s="1">
        <v>-9510</v>
      </c>
      <c r="C1138" s="1">
        <v>2150</v>
      </c>
    </row>
    <row r="1139" spans="1:3" x14ac:dyDescent="0.25">
      <c r="A1139" s="1">
        <v>1953</v>
      </c>
      <c r="B1139" s="1">
        <v>-9399</v>
      </c>
      <c r="C1139" s="1">
        <v>2150</v>
      </c>
    </row>
    <row r="1140" spans="1:3" x14ac:dyDescent="0.25">
      <c r="A1140" s="1">
        <v>2590</v>
      </c>
      <c r="B1140" s="1">
        <v>-9244</v>
      </c>
      <c r="C1140" s="1">
        <v>2150</v>
      </c>
    </row>
    <row r="1141" spans="1:3" x14ac:dyDescent="0.25">
      <c r="A1141" s="1">
        <v>3216</v>
      </c>
      <c r="B1141" s="1">
        <v>-9045</v>
      </c>
      <c r="C1141" s="1">
        <v>2150</v>
      </c>
    </row>
    <row r="1142" spans="1:3" x14ac:dyDescent="0.25">
      <c r="A1142" s="1">
        <v>4122</v>
      </c>
      <c r="B1142" s="1">
        <v>-8670</v>
      </c>
      <c r="C1142" s="1">
        <v>2150</v>
      </c>
    </row>
    <row r="1143" spans="1:3" x14ac:dyDescent="0.25">
      <c r="A1143" s="1">
        <v>4702</v>
      </c>
      <c r="B1143" s="1">
        <v>-8369</v>
      </c>
      <c r="C1143" s="1">
        <v>2150</v>
      </c>
    </row>
    <row r="1144" spans="1:3" x14ac:dyDescent="0.25">
      <c r="A1144" s="1">
        <v>5539</v>
      </c>
      <c r="B1144" s="1">
        <v>-7841</v>
      </c>
      <c r="C1144" s="1">
        <v>2150</v>
      </c>
    </row>
    <row r="1145" spans="1:3" x14ac:dyDescent="0.25">
      <c r="A1145" s="1">
        <v>6058</v>
      </c>
      <c r="B1145" s="1">
        <v>-7447</v>
      </c>
      <c r="C1145" s="1">
        <v>2150</v>
      </c>
    </row>
    <row r="1146" spans="1:3" x14ac:dyDescent="0.25">
      <c r="A1146" s="1">
        <v>6552</v>
      </c>
      <c r="B1146" s="1">
        <v>-7016</v>
      </c>
      <c r="C1146" s="1">
        <v>2150</v>
      </c>
    </row>
    <row r="1147" spans="1:3" x14ac:dyDescent="0.25">
      <c r="A1147" s="1">
        <v>7016</v>
      </c>
      <c r="B1147" s="1">
        <v>-6552</v>
      </c>
      <c r="C1147" s="1">
        <v>2150</v>
      </c>
    </row>
    <row r="1148" spans="1:3" x14ac:dyDescent="0.25">
      <c r="A1148" s="1">
        <v>7447</v>
      </c>
      <c r="B1148" s="1">
        <v>-6058</v>
      </c>
      <c r="C1148" s="1">
        <v>2150</v>
      </c>
    </row>
    <row r="1149" spans="1:3" x14ac:dyDescent="0.25">
      <c r="A1149" s="1">
        <v>7843</v>
      </c>
      <c r="B1149" s="1">
        <v>-5536</v>
      </c>
      <c r="C1149" s="1">
        <v>2150</v>
      </c>
    </row>
    <row r="1150" spans="1:3" x14ac:dyDescent="0.25">
      <c r="A1150" s="1">
        <v>8202</v>
      </c>
      <c r="B1150" s="1">
        <v>-4988</v>
      </c>
      <c r="C1150" s="1">
        <v>2150</v>
      </c>
    </row>
    <row r="1151" spans="1:3" x14ac:dyDescent="0.25">
      <c r="A1151" s="1">
        <v>8523</v>
      </c>
      <c r="B1151" s="1">
        <v>-4417</v>
      </c>
      <c r="C1151" s="1">
        <v>2150</v>
      </c>
    </row>
    <row r="1152" spans="1:3" x14ac:dyDescent="0.25">
      <c r="A1152" s="1">
        <v>8805</v>
      </c>
      <c r="B1152" s="1">
        <v>-3825</v>
      </c>
      <c r="C1152" s="1">
        <v>2150</v>
      </c>
    </row>
    <row r="1153" spans="1:3" x14ac:dyDescent="0.25">
      <c r="A1153" s="1">
        <v>9045</v>
      </c>
      <c r="B1153" s="1">
        <v>-3215</v>
      </c>
      <c r="C1153" s="1">
        <v>2150</v>
      </c>
    </row>
    <row r="1154" spans="1:3" x14ac:dyDescent="0.25">
      <c r="A1154" s="1">
        <v>9243</v>
      </c>
      <c r="B1154" s="1">
        <v>-2593</v>
      </c>
      <c r="C1154" s="1">
        <v>2150</v>
      </c>
    </row>
    <row r="1155" spans="1:3" x14ac:dyDescent="0.25">
      <c r="A1155" s="1">
        <v>9461</v>
      </c>
      <c r="B1155" s="1">
        <v>-1628</v>
      </c>
      <c r="C1155" s="1">
        <v>2150</v>
      </c>
    </row>
    <row r="1156" spans="1:3" x14ac:dyDescent="0.25">
      <c r="A1156" s="1">
        <v>9549</v>
      </c>
      <c r="B1156">
        <f>0.982</f>
        <v>0.98199999999999998</v>
      </c>
      <c r="C1156" s="1">
        <v>2150</v>
      </c>
    </row>
    <row r="1157" spans="1:3" x14ac:dyDescent="0.25">
      <c r="A1157" s="1">
        <v>9594</v>
      </c>
      <c r="B1157">
        <f>0.328</f>
        <v>0.32800000000000001</v>
      </c>
      <c r="C1157" s="1">
        <v>2150</v>
      </c>
    </row>
    <row r="1158" spans="1:3" x14ac:dyDescent="0.25">
      <c r="A1158" s="1">
        <v>9594</v>
      </c>
      <c r="B1158">
        <v>0.32800000000000001</v>
      </c>
      <c r="C1158" s="1">
        <v>2150</v>
      </c>
    </row>
    <row r="1159" spans="1:3" x14ac:dyDescent="0.25">
      <c r="A1159" s="1">
        <v>9549</v>
      </c>
      <c r="B1159">
        <v>0.98199999999999998</v>
      </c>
      <c r="C1159" s="1">
        <v>2150</v>
      </c>
    </row>
    <row r="1160" spans="1:3" x14ac:dyDescent="0.25">
      <c r="A1160" s="1">
        <v>9460</v>
      </c>
      <c r="B1160" s="1">
        <v>1631</v>
      </c>
      <c r="C1160" s="1">
        <v>2150</v>
      </c>
    </row>
    <row r="1161" spans="1:3" x14ac:dyDescent="0.25">
      <c r="A1161" s="1">
        <v>9327</v>
      </c>
      <c r="B1161" s="1">
        <v>2273</v>
      </c>
      <c r="C1161" s="1">
        <v>2150</v>
      </c>
    </row>
    <row r="1162" spans="1:3" x14ac:dyDescent="0.25">
      <c r="A1162" s="1">
        <v>9150</v>
      </c>
      <c r="B1162" s="1">
        <v>2905</v>
      </c>
      <c r="C1162" s="1">
        <v>2150</v>
      </c>
    </row>
    <row r="1163" spans="1:3" x14ac:dyDescent="0.25">
      <c r="A1163" s="1">
        <v>9000</v>
      </c>
      <c r="B1163" s="1">
        <v>3337</v>
      </c>
      <c r="C1163" s="1">
        <v>2150</v>
      </c>
    </row>
    <row r="1164" spans="1:3" x14ac:dyDescent="0.25">
      <c r="A1164" s="1">
        <v>8805</v>
      </c>
      <c r="B1164" s="1">
        <v>3824</v>
      </c>
      <c r="C1164" s="1">
        <v>2150</v>
      </c>
    </row>
    <row r="1165" spans="1:3" x14ac:dyDescent="0.25">
      <c r="A1165" s="1">
        <v>8525</v>
      </c>
      <c r="B1165" s="1">
        <v>4413</v>
      </c>
      <c r="C1165" s="1">
        <v>2150</v>
      </c>
    </row>
    <row r="1166" spans="1:3" x14ac:dyDescent="0.25">
      <c r="A1166" s="1">
        <v>8027</v>
      </c>
      <c r="B1166" s="1">
        <v>5265</v>
      </c>
      <c r="C1166" s="1">
        <v>2150</v>
      </c>
    </row>
    <row r="1167" spans="1:3" x14ac:dyDescent="0.25">
      <c r="A1167" s="1">
        <v>7446</v>
      </c>
      <c r="B1167" s="1">
        <v>6058</v>
      </c>
      <c r="C1167" s="1">
        <v>2150</v>
      </c>
    </row>
    <row r="1168" spans="1:3" x14ac:dyDescent="0.25">
      <c r="A1168" s="1">
        <v>6788</v>
      </c>
      <c r="B1168" s="1">
        <v>6788</v>
      </c>
      <c r="C1168" s="1">
        <v>2150</v>
      </c>
    </row>
    <row r="1169" spans="1:3" x14ac:dyDescent="0.25">
      <c r="A1169" s="1">
        <v>6058</v>
      </c>
      <c r="B1169" s="1">
        <v>7446</v>
      </c>
      <c r="C1169" s="1">
        <v>2150</v>
      </c>
    </row>
    <row r="1170" spans="1:3" x14ac:dyDescent="0.25">
      <c r="A1170" s="1">
        <v>5265</v>
      </c>
      <c r="B1170" s="1">
        <v>8027</v>
      </c>
      <c r="C1170" s="1">
        <v>2150</v>
      </c>
    </row>
    <row r="1171" spans="1:3" x14ac:dyDescent="0.25">
      <c r="A1171" s="1">
        <v>4416</v>
      </c>
      <c r="B1171" s="1">
        <v>8523</v>
      </c>
      <c r="C1171" s="1">
        <v>2150</v>
      </c>
    </row>
    <row r="1172" spans="1:3" x14ac:dyDescent="0.25">
      <c r="A1172" s="1">
        <v>3522</v>
      </c>
      <c r="B1172" s="1">
        <v>8930</v>
      </c>
      <c r="C1172" s="1">
        <v>2150</v>
      </c>
    </row>
    <row r="1173" spans="1:3" x14ac:dyDescent="0.25">
      <c r="A1173" s="1">
        <v>2590</v>
      </c>
      <c r="B1173" s="1">
        <v>9244</v>
      </c>
      <c r="C1173" s="1">
        <v>2150</v>
      </c>
    </row>
    <row r="1174" spans="1:3" x14ac:dyDescent="0.25">
      <c r="A1174" s="1">
        <v>1628</v>
      </c>
      <c r="B1174" s="1">
        <v>9461</v>
      </c>
      <c r="C1174" s="1">
        <v>2150</v>
      </c>
    </row>
    <row r="1175" spans="1:3" x14ac:dyDescent="0.25">
      <c r="A1175" t="s">
        <v>18</v>
      </c>
      <c r="B1175" s="1">
        <v>9549</v>
      </c>
      <c r="C1175" s="1">
        <v>2150</v>
      </c>
    </row>
    <row r="1176" spans="1:3" x14ac:dyDescent="0.25">
      <c r="A1176" t="s">
        <v>17</v>
      </c>
      <c r="B1176" s="1">
        <v>9594</v>
      </c>
      <c r="C1176" s="1">
        <v>2150</v>
      </c>
    </row>
    <row r="1177" spans="1:3" x14ac:dyDescent="0.25">
      <c r="A1177" s="1">
        <v>-9480</v>
      </c>
      <c r="B1177" s="1">
        <v>9600</v>
      </c>
      <c r="C1177" s="1">
        <v>2150</v>
      </c>
    </row>
    <row r="1178" spans="1:3" x14ac:dyDescent="0.25">
      <c r="A1178" s="1">
        <v>-9201</v>
      </c>
      <c r="B1178" s="1">
        <v>8906</v>
      </c>
      <c r="C1178" s="1">
        <v>2150</v>
      </c>
    </row>
    <row r="1179" spans="1:3" x14ac:dyDescent="0.25">
      <c r="A1179" s="1">
        <v>-1765</v>
      </c>
      <c r="B1179" s="1">
        <v>6588</v>
      </c>
      <c r="C1179" s="1">
        <v>2150</v>
      </c>
    </row>
    <row r="1180" spans="1:3" x14ac:dyDescent="0.25">
      <c r="A1180" s="1">
        <v>1712</v>
      </c>
      <c r="B1180" s="1">
        <v>-6391</v>
      </c>
      <c r="C1180" s="1">
        <v>2150</v>
      </c>
    </row>
    <row r="1181" spans="1:3" x14ac:dyDescent="0.25">
      <c r="A1181" s="1">
        <v>3522</v>
      </c>
      <c r="B1181" s="1">
        <v>3522</v>
      </c>
      <c r="C1181" s="1">
        <v>2150</v>
      </c>
    </row>
    <row r="1182" spans="1:3" x14ac:dyDescent="0.25">
      <c r="A1182" s="1">
        <v>3920</v>
      </c>
      <c r="B1182" s="1">
        <v>3081</v>
      </c>
      <c r="C1182" s="1">
        <v>2150</v>
      </c>
    </row>
    <row r="1183" spans="1:3" x14ac:dyDescent="0.25">
      <c r="A1183" s="1">
        <v>4270</v>
      </c>
      <c r="B1183" s="1">
        <v>2602</v>
      </c>
      <c r="C1183" s="1">
        <v>2150</v>
      </c>
    </row>
    <row r="1184" spans="1:3" x14ac:dyDescent="0.25">
      <c r="A1184" s="1">
        <v>4588</v>
      </c>
      <c r="B1184" s="1">
        <v>2059</v>
      </c>
      <c r="C1184" s="1">
        <v>2150</v>
      </c>
    </row>
    <row r="1185" spans="1:3" x14ac:dyDescent="0.25">
      <c r="A1185" s="1">
        <v>4854</v>
      </c>
      <c r="B1185" s="1">
        <v>1457</v>
      </c>
      <c r="C1185" s="1">
        <v>2150</v>
      </c>
    </row>
    <row r="1186" spans="1:3" x14ac:dyDescent="0.25">
      <c r="A1186" s="1">
        <v>5062</v>
      </c>
      <c r="B1186">
        <v>0.77800000000000002</v>
      </c>
      <c r="C1186" s="1">
        <v>2150</v>
      </c>
    </row>
    <row r="1187" spans="1:3" x14ac:dyDescent="0.25">
      <c r="A1187" s="1">
        <v>5139</v>
      </c>
      <c r="B1187">
        <v>0.40799999999999997</v>
      </c>
      <c r="C1187" s="1">
        <v>2150</v>
      </c>
    </row>
    <row r="1188" spans="1:3" x14ac:dyDescent="0.25">
      <c r="A1188" s="1">
        <v>5193</v>
      </c>
      <c r="B1188">
        <v>1.4999999999999999E-2</v>
      </c>
      <c r="C1188" s="1">
        <v>2150</v>
      </c>
    </row>
    <row r="1189" spans="1:3" x14ac:dyDescent="0.25">
      <c r="A1189" s="1">
        <v>5220</v>
      </c>
      <c r="B1189">
        <f>0.38</f>
        <v>0.38</v>
      </c>
      <c r="C1189" s="1">
        <v>2150</v>
      </c>
    </row>
    <row r="1190" spans="1:3" x14ac:dyDescent="0.25">
      <c r="A1190" s="1">
        <v>5220</v>
      </c>
      <c r="B1190">
        <f>0.776</f>
        <v>0.77600000000000002</v>
      </c>
      <c r="C1190" s="1">
        <v>2150</v>
      </c>
    </row>
    <row r="1191" spans="1:3" x14ac:dyDescent="0.25">
      <c r="A1191" s="1">
        <v>5193</v>
      </c>
      <c r="B1191" s="1">
        <v>-1171</v>
      </c>
      <c r="C1191" s="1">
        <v>2150</v>
      </c>
    </row>
    <row r="1192" spans="1:3" x14ac:dyDescent="0.25">
      <c r="A1192" s="1">
        <v>5144</v>
      </c>
      <c r="B1192" s="1">
        <v>-1528</v>
      </c>
      <c r="C1192" s="1">
        <v>2150</v>
      </c>
    </row>
    <row r="1193" spans="1:3" x14ac:dyDescent="0.25">
      <c r="A1193" s="1">
        <v>4997</v>
      </c>
      <c r="B1193" s="1">
        <v>-2177</v>
      </c>
      <c r="C1193" s="1">
        <v>2150</v>
      </c>
    </row>
    <row r="1194" spans="1:3" x14ac:dyDescent="0.25">
      <c r="A1194" s="1">
        <v>4888</v>
      </c>
      <c r="B1194" s="1">
        <v>-2520</v>
      </c>
      <c r="C1194" s="1">
        <v>2150</v>
      </c>
    </row>
    <row r="1195" spans="1:3" x14ac:dyDescent="0.25">
      <c r="A1195" s="1">
        <v>4743</v>
      </c>
      <c r="B1195" s="1">
        <v>-2889</v>
      </c>
      <c r="C1195" s="1">
        <v>2150</v>
      </c>
    </row>
    <row r="1196" spans="1:3" x14ac:dyDescent="0.25">
      <c r="A1196" s="1">
        <v>4573</v>
      </c>
      <c r="B1196" s="1">
        <v>-3246</v>
      </c>
      <c r="C1196" s="1">
        <v>2150</v>
      </c>
    </row>
    <row r="1197" spans="1:3" x14ac:dyDescent="0.25">
      <c r="A1197" s="1">
        <v>4379</v>
      </c>
      <c r="B1197" s="1">
        <v>-3592</v>
      </c>
      <c r="C1197" s="1">
        <v>2150</v>
      </c>
    </row>
    <row r="1198" spans="1:3" x14ac:dyDescent="0.25">
      <c r="A1198" s="1">
        <v>4161</v>
      </c>
      <c r="B1198" s="1">
        <v>-3923</v>
      </c>
      <c r="C1198" s="1">
        <v>2150</v>
      </c>
    </row>
    <row r="1199" spans="1:3" x14ac:dyDescent="0.25">
      <c r="A1199" s="1">
        <v>3922</v>
      </c>
      <c r="B1199" s="1">
        <v>-4239</v>
      </c>
      <c r="C1199" s="1">
        <v>2150</v>
      </c>
    </row>
    <row r="1200" spans="1:3" x14ac:dyDescent="0.25">
      <c r="A1200" s="1">
        <v>3662</v>
      </c>
      <c r="B1200" s="1">
        <v>-4537</v>
      </c>
      <c r="C1200" s="1">
        <v>2150</v>
      </c>
    </row>
    <row r="1201" spans="1:3" x14ac:dyDescent="0.25">
      <c r="A1201" s="1">
        <v>3382</v>
      </c>
      <c r="B1201" s="1">
        <v>-4817</v>
      </c>
      <c r="C1201" s="1">
        <v>2150</v>
      </c>
    </row>
    <row r="1202" spans="1:3" x14ac:dyDescent="0.25">
      <c r="A1202" s="1">
        <v>3083</v>
      </c>
      <c r="B1202" s="1">
        <v>-5077</v>
      </c>
      <c r="C1202" s="1">
        <v>2150</v>
      </c>
    </row>
    <row r="1203" spans="1:3" x14ac:dyDescent="0.25">
      <c r="A1203" s="1">
        <v>2796</v>
      </c>
      <c r="B1203" s="1">
        <v>-5295</v>
      </c>
      <c r="C1203" s="1">
        <v>2150</v>
      </c>
    </row>
    <row r="1204" spans="1:3" x14ac:dyDescent="0.25">
      <c r="A1204" s="1">
        <v>2233</v>
      </c>
      <c r="B1204" s="1">
        <v>-5651</v>
      </c>
      <c r="C1204" s="1">
        <v>2150</v>
      </c>
    </row>
    <row r="1205" spans="1:3" x14ac:dyDescent="0.25">
      <c r="A1205" s="1">
        <v>1906</v>
      </c>
      <c r="B1205" s="1">
        <v>-5820</v>
      </c>
      <c r="C1205" s="1">
        <v>2150</v>
      </c>
    </row>
    <row r="1206" spans="1:3" x14ac:dyDescent="0.25">
      <c r="A1206" s="1">
        <v>1641</v>
      </c>
      <c r="B1206" s="1">
        <v>-5936</v>
      </c>
      <c r="C1206" s="1">
        <v>2150</v>
      </c>
    </row>
    <row r="1207" spans="1:3" x14ac:dyDescent="0.25">
      <c r="A1207" t="s">
        <v>157</v>
      </c>
      <c r="B1207" s="1">
        <v>-6168</v>
      </c>
      <c r="C1207" s="1">
        <v>2150</v>
      </c>
    </row>
    <row r="1208" spans="1:3" x14ac:dyDescent="0.25">
      <c r="A1208" t="s">
        <v>33</v>
      </c>
      <c r="B1208" s="1">
        <v>-6257</v>
      </c>
      <c r="C1208" s="1">
        <v>2150</v>
      </c>
    </row>
    <row r="1209" spans="1:3" x14ac:dyDescent="0.25">
      <c r="A1209" t="s">
        <v>34</v>
      </c>
      <c r="B1209" s="1">
        <v>-6324</v>
      </c>
      <c r="C1209" s="1">
        <v>2150</v>
      </c>
    </row>
    <row r="1210" spans="1:3" x14ac:dyDescent="0.25">
      <c r="A1210" t="e" vm="7">
        <f>_FV(0,"522")</f>
        <v>#VALUE!</v>
      </c>
      <c r="B1210" s="1">
        <v>-6379</v>
      </c>
      <c r="C1210" s="1">
        <v>2150</v>
      </c>
    </row>
    <row r="1211" spans="1:3" x14ac:dyDescent="0.25">
      <c r="A1211" s="1">
        <v>-6380</v>
      </c>
      <c r="B1211" s="1">
        <v>-6380</v>
      </c>
      <c r="C1211" s="1">
        <v>2150</v>
      </c>
    </row>
    <row r="1212" spans="1:3" x14ac:dyDescent="0.25">
      <c r="A1212" s="1">
        <v>4677</v>
      </c>
      <c r="B1212" s="1">
        <v>4677</v>
      </c>
      <c r="C1212" s="1">
        <v>2150</v>
      </c>
    </row>
    <row r="1213" spans="1:3" x14ac:dyDescent="0.25">
      <c r="A1213" s="1">
        <v>4677</v>
      </c>
      <c r="B1213" s="1">
        <v>4677</v>
      </c>
      <c r="C1213" s="1">
        <v>2450</v>
      </c>
    </row>
    <row r="1214" spans="1:3" x14ac:dyDescent="0.25">
      <c r="A1214" s="1">
        <v>-7289</v>
      </c>
      <c r="B1214" s="1">
        <v>7287</v>
      </c>
      <c r="C1214" s="1">
        <v>2450</v>
      </c>
    </row>
    <row r="1215" spans="1:3" x14ac:dyDescent="0.25">
      <c r="A1215" s="1">
        <v>-7289</v>
      </c>
      <c r="B1215" s="1">
        <v>-7288</v>
      </c>
      <c r="C1215" s="1">
        <v>2450</v>
      </c>
    </row>
    <row r="1216" spans="1:3" x14ac:dyDescent="0.25">
      <c r="A1216" t="s">
        <v>48</v>
      </c>
      <c r="B1216" s="1">
        <v>-7286</v>
      </c>
      <c r="C1216" s="1">
        <v>2450</v>
      </c>
    </row>
    <row r="1217" spans="1:3" x14ac:dyDescent="0.25">
      <c r="A1217" t="s">
        <v>158</v>
      </c>
      <c r="B1217" s="1">
        <v>-7271</v>
      </c>
      <c r="C1217" s="1">
        <v>2450</v>
      </c>
    </row>
    <row r="1218" spans="1:3" x14ac:dyDescent="0.25">
      <c r="A1218" t="s">
        <v>11</v>
      </c>
      <c r="B1218" s="1">
        <v>-7219</v>
      </c>
      <c r="C1218" s="1">
        <v>2450</v>
      </c>
    </row>
    <row r="1219" spans="1:3" x14ac:dyDescent="0.25">
      <c r="A1219" s="1">
        <v>1483</v>
      </c>
      <c r="B1219" s="1">
        <v>-7135</v>
      </c>
      <c r="C1219" s="1">
        <v>2450</v>
      </c>
    </row>
    <row r="1220" spans="1:3" x14ac:dyDescent="0.25">
      <c r="A1220" s="1">
        <v>1966</v>
      </c>
      <c r="B1220" s="1">
        <v>-7017</v>
      </c>
      <c r="C1220" s="1">
        <v>2450</v>
      </c>
    </row>
    <row r="1221" spans="1:3" x14ac:dyDescent="0.25">
      <c r="A1221" s="1">
        <v>2448</v>
      </c>
      <c r="B1221" s="1">
        <v>-6864</v>
      </c>
      <c r="C1221" s="1">
        <v>2450</v>
      </c>
    </row>
    <row r="1222" spans="1:3" x14ac:dyDescent="0.25">
      <c r="A1222" s="1">
        <v>3124</v>
      </c>
      <c r="B1222" s="1">
        <v>-6584</v>
      </c>
      <c r="C1222" s="1">
        <v>2450</v>
      </c>
    </row>
    <row r="1223" spans="1:3" x14ac:dyDescent="0.25">
      <c r="A1223" s="1">
        <v>3551</v>
      </c>
      <c r="B1223" s="1">
        <v>-6363</v>
      </c>
      <c r="C1223" s="1">
        <v>2450</v>
      </c>
    </row>
    <row r="1224" spans="1:3" x14ac:dyDescent="0.25">
      <c r="A1224" s="1">
        <v>4221</v>
      </c>
      <c r="B1224" s="1">
        <v>-5939</v>
      </c>
      <c r="C1224" s="1">
        <v>2450</v>
      </c>
    </row>
    <row r="1225" spans="1:3" x14ac:dyDescent="0.25">
      <c r="A1225" s="1">
        <v>4599</v>
      </c>
      <c r="B1225" s="1">
        <v>-5653</v>
      </c>
      <c r="C1225" s="1">
        <v>2450</v>
      </c>
    </row>
    <row r="1226" spans="1:3" x14ac:dyDescent="0.25">
      <c r="A1226" s="1">
        <v>4974</v>
      </c>
      <c r="B1226" s="1">
        <v>-5326</v>
      </c>
      <c r="C1226" s="1">
        <v>2450</v>
      </c>
    </row>
    <row r="1227" spans="1:3" x14ac:dyDescent="0.25">
      <c r="A1227" s="1">
        <v>5326</v>
      </c>
      <c r="B1227" s="1">
        <v>-4974</v>
      </c>
      <c r="C1227" s="1">
        <v>2450</v>
      </c>
    </row>
    <row r="1228" spans="1:3" x14ac:dyDescent="0.25">
      <c r="A1228" s="1">
        <v>5653</v>
      </c>
      <c r="B1228" s="1">
        <v>-4599</v>
      </c>
      <c r="C1228" s="1">
        <v>2450</v>
      </c>
    </row>
    <row r="1229" spans="1:3" x14ac:dyDescent="0.25">
      <c r="A1229" s="1">
        <v>5953</v>
      </c>
      <c r="B1229" s="1">
        <v>-4202</v>
      </c>
      <c r="C1229" s="1">
        <v>2450</v>
      </c>
    </row>
    <row r="1230" spans="1:3" x14ac:dyDescent="0.25">
      <c r="A1230" s="1">
        <v>6226</v>
      </c>
      <c r="B1230" s="1">
        <v>-3786</v>
      </c>
      <c r="C1230" s="1">
        <v>2450</v>
      </c>
    </row>
    <row r="1231" spans="1:3" x14ac:dyDescent="0.25">
      <c r="A1231" s="1">
        <v>6474</v>
      </c>
      <c r="B1231" s="1">
        <v>-3345</v>
      </c>
      <c r="C1231" s="1">
        <v>2450</v>
      </c>
    </row>
    <row r="1232" spans="1:3" x14ac:dyDescent="0.25">
      <c r="A1232" s="1">
        <v>6628</v>
      </c>
      <c r="B1232" s="1">
        <v>-3028</v>
      </c>
      <c r="C1232" s="1">
        <v>2450</v>
      </c>
    </row>
    <row r="1233" spans="1:3" x14ac:dyDescent="0.25">
      <c r="A1233" s="1">
        <v>6777</v>
      </c>
      <c r="B1233" s="1">
        <v>-2680</v>
      </c>
      <c r="C1233" s="1">
        <v>2450</v>
      </c>
    </row>
    <row r="1234" spans="1:3" x14ac:dyDescent="0.25">
      <c r="A1234" s="1">
        <v>6946</v>
      </c>
      <c r="B1234" s="1">
        <v>-2204</v>
      </c>
      <c r="C1234" s="1">
        <v>2450</v>
      </c>
    </row>
    <row r="1235" spans="1:3" x14ac:dyDescent="0.25">
      <c r="A1235" s="1">
        <v>7080</v>
      </c>
      <c r="B1235" s="1">
        <v>-1725</v>
      </c>
      <c r="C1235" s="1">
        <v>2450</v>
      </c>
    </row>
    <row r="1236" spans="1:3" x14ac:dyDescent="0.25">
      <c r="A1236" s="1">
        <v>7181</v>
      </c>
      <c r="B1236" s="1">
        <v>-1238</v>
      </c>
      <c r="C1236" s="1">
        <v>2450</v>
      </c>
    </row>
    <row r="1237" spans="1:3" x14ac:dyDescent="0.25">
      <c r="A1237" s="1">
        <v>7249</v>
      </c>
      <c r="B1237">
        <f>0.745</f>
        <v>0.745</v>
      </c>
      <c r="C1237" s="1">
        <v>2450</v>
      </c>
    </row>
    <row r="1238" spans="1:3" x14ac:dyDescent="0.25">
      <c r="A1238" s="1">
        <v>7283</v>
      </c>
      <c r="B1238">
        <f>0.249</f>
        <v>0.249</v>
      </c>
      <c r="C1238" s="1">
        <v>2450</v>
      </c>
    </row>
    <row r="1239" spans="1:3" x14ac:dyDescent="0.25">
      <c r="A1239" s="1">
        <v>7283</v>
      </c>
      <c r="B1239">
        <v>0.249</v>
      </c>
      <c r="C1239" s="1">
        <v>2450</v>
      </c>
    </row>
    <row r="1240" spans="1:3" x14ac:dyDescent="0.25">
      <c r="A1240" s="1">
        <v>7249</v>
      </c>
      <c r="B1240">
        <v>0.745</v>
      </c>
      <c r="C1240" s="1">
        <v>2450</v>
      </c>
    </row>
    <row r="1241" spans="1:3" x14ac:dyDescent="0.25">
      <c r="A1241" s="1">
        <v>7181</v>
      </c>
      <c r="B1241" s="1">
        <v>1238</v>
      </c>
      <c r="C1241" s="1">
        <v>2450</v>
      </c>
    </row>
    <row r="1242" spans="1:3" x14ac:dyDescent="0.25">
      <c r="A1242" s="1">
        <v>7085</v>
      </c>
      <c r="B1242" s="1">
        <v>1703</v>
      </c>
      <c r="C1242" s="1">
        <v>2450</v>
      </c>
    </row>
    <row r="1243" spans="1:3" x14ac:dyDescent="0.25">
      <c r="A1243" s="1">
        <v>6858</v>
      </c>
      <c r="B1243" s="1">
        <v>2462</v>
      </c>
      <c r="C1243" s="1">
        <v>2450</v>
      </c>
    </row>
    <row r="1244" spans="1:3" x14ac:dyDescent="0.25">
      <c r="A1244" s="1">
        <v>6684</v>
      </c>
      <c r="B1244" s="1">
        <v>2903</v>
      </c>
      <c r="C1244" s="1">
        <v>2450</v>
      </c>
    </row>
    <row r="1245" spans="1:3" x14ac:dyDescent="0.25">
      <c r="A1245" s="1">
        <v>6480</v>
      </c>
      <c r="B1245" s="1">
        <v>3332</v>
      </c>
      <c r="C1245" s="1">
        <v>2450</v>
      </c>
    </row>
    <row r="1246" spans="1:3" x14ac:dyDescent="0.25">
      <c r="A1246" s="1">
        <v>6092</v>
      </c>
      <c r="B1246" s="1">
        <v>3996</v>
      </c>
      <c r="C1246" s="1">
        <v>2450</v>
      </c>
    </row>
    <row r="1247" spans="1:3" x14ac:dyDescent="0.25">
      <c r="A1247" s="1">
        <v>5651</v>
      </c>
      <c r="B1247" s="1">
        <v>4598</v>
      </c>
      <c r="C1247" s="1">
        <v>2450</v>
      </c>
    </row>
    <row r="1248" spans="1:3" x14ac:dyDescent="0.25">
      <c r="A1248" s="1">
        <v>5151</v>
      </c>
      <c r="B1248" s="1">
        <v>5151</v>
      </c>
      <c r="C1248" s="1">
        <v>2450</v>
      </c>
    </row>
    <row r="1249" spans="1:3" x14ac:dyDescent="0.25">
      <c r="A1249" s="1">
        <v>4598</v>
      </c>
      <c r="B1249" s="1">
        <v>5651</v>
      </c>
      <c r="C1249" s="1">
        <v>2450</v>
      </c>
    </row>
    <row r="1250" spans="1:3" x14ac:dyDescent="0.25">
      <c r="A1250" s="1">
        <v>3996</v>
      </c>
      <c r="B1250" s="1">
        <v>6092</v>
      </c>
      <c r="C1250" s="1">
        <v>2450</v>
      </c>
    </row>
    <row r="1251" spans="1:3" x14ac:dyDescent="0.25">
      <c r="A1251" s="1">
        <v>3352</v>
      </c>
      <c r="B1251" s="1">
        <v>6468</v>
      </c>
      <c r="C1251" s="1">
        <v>2450</v>
      </c>
    </row>
    <row r="1252" spans="1:3" x14ac:dyDescent="0.25">
      <c r="A1252" s="1">
        <v>2673</v>
      </c>
      <c r="B1252" s="1">
        <v>6777</v>
      </c>
      <c r="C1252" s="1">
        <v>2450</v>
      </c>
    </row>
    <row r="1253" spans="1:3" x14ac:dyDescent="0.25">
      <c r="A1253" s="1">
        <v>1944</v>
      </c>
      <c r="B1253" s="1">
        <v>7022</v>
      </c>
      <c r="C1253" s="1">
        <v>2450</v>
      </c>
    </row>
    <row r="1254" spans="1:3" x14ac:dyDescent="0.25">
      <c r="A1254" s="1">
        <v>1474</v>
      </c>
      <c r="B1254" s="1">
        <v>7137</v>
      </c>
      <c r="C1254" s="1">
        <v>2450</v>
      </c>
    </row>
    <row r="1255" spans="1:3" x14ac:dyDescent="0.25">
      <c r="A1255" s="1">
        <v>1127</v>
      </c>
      <c r="B1255" s="1">
        <v>7199</v>
      </c>
      <c r="C1255" s="1">
        <v>2450</v>
      </c>
    </row>
    <row r="1256" spans="1:3" x14ac:dyDescent="0.25">
      <c r="A1256" t="s">
        <v>49</v>
      </c>
      <c r="B1256" s="1">
        <v>7249</v>
      </c>
      <c r="C1256" s="1">
        <v>2450</v>
      </c>
    </row>
    <row r="1257" spans="1:3" x14ac:dyDescent="0.25">
      <c r="A1257" t="s">
        <v>13</v>
      </c>
      <c r="B1257" s="1">
        <v>7283</v>
      </c>
      <c r="C1257" s="1">
        <v>2450</v>
      </c>
    </row>
    <row r="1258" spans="1:3" x14ac:dyDescent="0.25">
      <c r="A1258" s="1">
        <v>-7169</v>
      </c>
      <c r="B1258" s="1">
        <v>7287</v>
      </c>
      <c r="C1258" s="1">
        <v>2450</v>
      </c>
    </row>
    <row r="1259" spans="1:3" x14ac:dyDescent="0.25">
      <c r="A1259" s="1">
        <v>-8584</v>
      </c>
      <c r="B1259" s="1">
        <v>8584</v>
      </c>
      <c r="C1259" s="1">
        <v>2450</v>
      </c>
    </row>
    <row r="1260" spans="1:3" x14ac:dyDescent="0.25">
      <c r="A1260" s="1">
        <v>-8584</v>
      </c>
      <c r="B1260" s="1">
        <v>-8584</v>
      </c>
      <c r="C1260" s="1">
        <v>2450</v>
      </c>
    </row>
    <row r="1261" spans="1:3" x14ac:dyDescent="0.25">
      <c r="A1261" t="s">
        <v>46</v>
      </c>
      <c r="B1261" s="1">
        <v>-8582</v>
      </c>
      <c r="C1261" s="1">
        <v>2450</v>
      </c>
    </row>
    <row r="1262" spans="1:3" x14ac:dyDescent="0.25">
      <c r="A1262" t="s">
        <v>50</v>
      </c>
      <c r="B1262" s="1">
        <v>-8564</v>
      </c>
      <c r="C1262" s="1">
        <v>2450</v>
      </c>
    </row>
    <row r="1263" spans="1:3" x14ac:dyDescent="0.25">
      <c r="A1263" s="1">
        <v>1169</v>
      </c>
      <c r="B1263" s="1">
        <v>-8504</v>
      </c>
      <c r="C1263" s="1">
        <v>2450</v>
      </c>
    </row>
    <row r="1264" spans="1:3" x14ac:dyDescent="0.25">
      <c r="A1264" s="1">
        <v>1746</v>
      </c>
      <c r="B1264" s="1">
        <v>-8404</v>
      </c>
      <c r="C1264" s="1">
        <v>2450</v>
      </c>
    </row>
    <row r="1265" spans="1:3" x14ac:dyDescent="0.25">
      <c r="A1265" s="1">
        <v>2316</v>
      </c>
      <c r="B1265" s="1">
        <v>-8265</v>
      </c>
      <c r="C1265" s="1">
        <v>2450</v>
      </c>
    </row>
    <row r="1266" spans="1:3" x14ac:dyDescent="0.25">
      <c r="A1266" s="1">
        <v>2879</v>
      </c>
      <c r="B1266" s="1">
        <v>-8087</v>
      </c>
      <c r="C1266" s="1">
        <v>2450</v>
      </c>
    </row>
    <row r="1267" spans="1:3" x14ac:dyDescent="0.25">
      <c r="A1267" s="1">
        <v>3683</v>
      </c>
      <c r="B1267" s="1">
        <v>-7753</v>
      </c>
      <c r="C1267" s="1">
        <v>2450</v>
      </c>
    </row>
    <row r="1268" spans="1:3" x14ac:dyDescent="0.25">
      <c r="A1268" s="1">
        <v>4196</v>
      </c>
      <c r="B1268" s="1">
        <v>-7488</v>
      </c>
      <c r="C1268" s="1">
        <v>2450</v>
      </c>
    </row>
    <row r="1269" spans="1:3" x14ac:dyDescent="0.25">
      <c r="A1269" s="1">
        <v>4960</v>
      </c>
      <c r="B1269" s="1">
        <v>-7005</v>
      </c>
      <c r="C1269" s="1">
        <v>2450</v>
      </c>
    </row>
    <row r="1270" spans="1:3" x14ac:dyDescent="0.25">
      <c r="A1270" s="1">
        <v>5417</v>
      </c>
      <c r="B1270" s="1">
        <v>-6658</v>
      </c>
      <c r="C1270" s="1">
        <v>2450</v>
      </c>
    </row>
    <row r="1271" spans="1:3" x14ac:dyDescent="0.25">
      <c r="A1271" s="1">
        <v>5859</v>
      </c>
      <c r="B1271" s="1">
        <v>-6273</v>
      </c>
      <c r="C1271" s="1">
        <v>2450</v>
      </c>
    </row>
    <row r="1272" spans="1:3" x14ac:dyDescent="0.25">
      <c r="A1272" s="1">
        <v>6273</v>
      </c>
      <c r="B1272" s="1">
        <v>-5859</v>
      </c>
      <c r="C1272" s="1">
        <v>2450</v>
      </c>
    </row>
    <row r="1273" spans="1:3" x14ac:dyDescent="0.25">
      <c r="A1273" s="1">
        <v>6658</v>
      </c>
      <c r="B1273" s="1">
        <v>-5417</v>
      </c>
      <c r="C1273" s="1">
        <v>2450</v>
      </c>
    </row>
    <row r="1274" spans="1:3" x14ac:dyDescent="0.25">
      <c r="A1274" s="1">
        <v>7013</v>
      </c>
      <c r="B1274" s="1">
        <v>-4950</v>
      </c>
      <c r="C1274" s="1">
        <v>2450</v>
      </c>
    </row>
    <row r="1275" spans="1:3" x14ac:dyDescent="0.25">
      <c r="A1275" s="1">
        <v>7334</v>
      </c>
      <c r="B1275" s="1">
        <v>-4460</v>
      </c>
      <c r="C1275" s="1">
        <v>2450</v>
      </c>
    </row>
    <row r="1276" spans="1:3" x14ac:dyDescent="0.25">
      <c r="A1276" s="1">
        <v>7623</v>
      </c>
      <c r="B1276" s="1">
        <v>-3945</v>
      </c>
      <c r="C1276" s="1">
        <v>2450</v>
      </c>
    </row>
    <row r="1277" spans="1:3" x14ac:dyDescent="0.25">
      <c r="A1277" s="1">
        <v>7807</v>
      </c>
      <c r="B1277" s="1">
        <v>-3565</v>
      </c>
      <c r="C1277" s="1">
        <v>2450</v>
      </c>
    </row>
    <row r="1278" spans="1:3" x14ac:dyDescent="0.25">
      <c r="A1278" s="1">
        <v>7984</v>
      </c>
      <c r="B1278" s="1">
        <v>-3152</v>
      </c>
      <c r="C1278" s="1">
        <v>2450</v>
      </c>
    </row>
    <row r="1279" spans="1:3" x14ac:dyDescent="0.25">
      <c r="A1279" s="1">
        <v>8181</v>
      </c>
      <c r="B1279" s="1">
        <v>-2597</v>
      </c>
      <c r="C1279" s="1">
        <v>2450</v>
      </c>
    </row>
    <row r="1280" spans="1:3" x14ac:dyDescent="0.25">
      <c r="A1280" s="1">
        <v>8339</v>
      </c>
      <c r="B1280" s="1">
        <v>-2032</v>
      </c>
      <c r="C1280" s="1">
        <v>2450</v>
      </c>
    </row>
    <row r="1281" spans="1:3" x14ac:dyDescent="0.25">
      <c r="A1281" s="1">
        <v>8459</v>
      </c>
      <c r="B1281" s="1">
        <v>-1458</v>
      </c>
      <c r="C1281" s="1">
        <v>2450</v>
      </c>
    </row>
    <row r="1282" spans="1:3" x14ac:dyDescent="0.25">
      <c r="A1282" s="1">
        <v>8539</v>
      </c>
      <c r="B1282">
        <f>0.878</f>
        <v>0.878</v>
      </c>
      <c r="C1282" s="1">
        <v>2450</v>
      </c>
    </row>
    <row r="1283" spans="1:3" x14ac:dyDescent="0.25">
      <c r="A1283" s="1">
        <v>8579</v>
      </c>
      <c r="B1283">
        <f>0.293</f>
        <v>0.29299999999999998</v>
      </c>
      <c r="C1283" s="1">
        <v>2450</v>
      </c>
    </row>
    <row r="1284" spans="1:3" x14ac:dyDescent="0.25">
      <c r="A1284" s="1">
        <v>8579</v>
      </c>
      <c r="B1284">
        <v>0.29299999999999998</v>
      </c>
      <c r="C1284" s="1">
        <v>2450</v>
      </c>
    </row>
    <row r="1285" spans="1:3" x14ac:dyDescent="0.25">
      <c r="A1285" s="1">
        <v>8539</v>
      </c>
      <c r="B1285">
        <v>0.878</v>
      </c>
      <c r="C1285" s="1">
        <v>2450</v>
      </c>
    </row>
    <row r="1286" spans="1:3" x14ac:dyDescent="0.25">
      <c r="A1286" s="1">
        <v>8459</v>
      </c>
      <c r="B1286" s="1">
        <v>1458</v>
      </c>
      <c r="C1286" s="1">
        <v>2450</v>
      </c>
    </row>
    <row r="1287" spans="1:3" x14ac:dyDescent="0.25">
      <c r="A1287" s="1">
        <v>8342</v>
      </c>
      <c r="B1287" s="1">
        <v>2020</v>
      </c>
      <c r="C1287" s="1">
        <v>2450</v>
      </c>
    </row>
    <row r="1288" spans="1:3" x14ac:dyDescent="0.25">
      <c r="A1288" s="1">
        <v>8084</v>
      </c>
      <c r="B1288" s="1">
        <v>2886</v>
      </c>
      <c r="C1288" s="1">
        <v>2450</v>
      </c>
    </row>
    <row r="1289" spans="1:3" x14ac:dyDescent="0.25">
      <c r="A1289" s="1">
        <v>7873</v>
      </c>
      <c r="B1289" s="1">
        <v>3420</v>
      </c>
      <c r="C1289" s="1">
        <v>2450</v>
      </c>
    </row>
    <row r="1290" spans="1:3" x14ac:dyDescent="0.25">
      <c r="A1290" s="1">
        <v>7626</v>
      </c>
      <c r="B1290" s="1">
        <v>3938</v>
      </c>
      <c r="C1290" s="1">
        <v>2450</v>
      </c>
    </row>
    <row r="1291" spans="1:3" x14ac:dyDescent="0.25">
      <c r="A1291" s="1">
        <v>7177</v>
      </c>
      <c r="B1291" s="1">
        <v>4707</v>
      </c>
      <c r="C1291" s="1">
        <v>2450</v>
      </c>
    </row>
    <row r="1292" spans="1:3" x14ac:dyDescent="0.25">
      <c r="A1292" s="1">
        <v>6658</v>
      </c>
      <c r="B1292" s="1">
        <v>5416</v>
      </c>
      <c r="C1292" s="1">
        <v>2450</v>
      </c>
    </row>
    <row r="1293" spans="1:3" x14ac:dyDescent="0.25">
      <c r="A1293" s="1">
        <v>6069</v>
      </c>
      <c r="B1293" s="1">
        <v>6069</v>
      </c>
      <c r="C1293" s="1">
        <v>2450</v>
      </c>
    </row>
    <row r="1294" spans="1:3" x14ac:dyDescent="0.25">
      <c r="A1294" s="1">
        <v>5416</v>
      </c>
      <c r="B1294" s="1">
        <v>6658</v>
      </c>
      <c r="C1294" s="1">
        <v>2450</v>
      </c>
    </row>
    <row r="1295" spans="1:3" x14ac:dyDescent="0.25">
      <c r="A1295" s="1">
        <v>4707</v>
      </c>
      <c r="B1295" s="1">
        <v>7177</v>
      </c>
      <c r="C1295" s="1">
        <v>2450</v>
      </c>
    </row>
    <row r="1296" spans="1:3" x14ac:dyDescent="0.25">
      <c r="A1296" s="1">
        <v>3949</v>
      </c>
      <c r="B1296" s="1">
        <v>7620</v>
      </c>
      <c r="C1296" s="1">
        <v>2450</v>
      </c>
    </row>
    <row r="1297" spans="1:3" x14ac:dyDescent="0.25">
      <c r="A1297" s="1">
        <v>3149</v>
      </c>
      <c r="B1297" s="1">
        <v>7984</v>
      </c>
      <c r="C1297" s="1">
        <v>2450</v>
      </c>
    </row>
    <row r="1298" spans="1:3" x14ac:dyDescent="0.25">
      <c r="A1298" s="1">
        <v>2304</v>
      </c>
      <c r="B1298" s="1">
        <v>8268</v>
      </c>
      <c r="C1298" s="1">
        <v>2450</v>
      </c>
    </row>
    <row r="1299" spans="1:3" x14ac:dyDescent="0.25">
      <c r="A1299" s="1">
        <v>1742</v>
      </c>
      <c r="B1299" s="1">
        <v>8405</v>
      </c>
      <c r="C1299" s="1">
        <v>2450</v>
      </c>
    </row>
    <row r="1300" spans="1:3" x14ac:dyDescent="0.25">
      <c r="A1300" s="1">
        <v>1326</v>
      </c>
      <c r="B1300" s="1">
        <v>8479</v>
      </c>
      <c r="C1300" s="1">
        <v>2450</v>
      </c>
    </row>
    <row r="1301" spans="1:3" x14ac:dyDescent="0.25">
      <c r="A1301" t="s">
        <v>23</v>
      </c>
      <c r="B1301" s="1">
        <v>8538</v>
      </c>
      <c r="C1301" s="1">
        <v>2450</v>
      </c>
    </row>
    <row r="1302" spans="1:3" x14ac:dyDescent="0.25">
      <c r="A1302" t="s">
        <v>14</v>
      </c>
      <c r="B1302" s="1">
        <v>8579</v>
      </c>
      <c r="C1302" s="1">
        <v>2450</v>
      </c>
    </row>
    <row r="1303" spans="1:3" x14ac:dyDescent="0.25">
      <c r="A1303" s="1">
        <v>-8464</v>
      </c>
      <c r="B1303" s="1">
        <v>8584</v>
      </c>
      <c r="C1303" s="1">
        <v>2450</v>
      </c>
    </row>
    <row r="1304" spans="1:3" x14ac:dyDescent="0.25">
      <c r="A1304" s="1">
        <v>-9600</v>
      </c>
      <c r="B1304" s="1">
        <v>9600</v>
      </c>
      <c r="C1304" s="1">
        <v>2450</v>
      </c>
    </row>
    <row r="1305" spans="1:3" x14ac:dyDescent="0.25">
      <c r="A1305" s="1">
        <v>-9600</v>
      </c>
      <c r="B1305" s="1">
        <v>-9600</v>
      </c>
      <c r="C1305" s="1">
        <v>2450</v>
      </c>
    </row>
    <row r="1306" spans="1:3" x14ac:dyDescent="0.25">
      <c r="A1306" t="s">
        <v>51</v>
      </c>
      <c r="B1306" s="1">
        <v>-9597</v>
      </c>
      <c r="C1306" s="1">
        <v>2450</v>
      </c>
    </row>
    <row r="1307" spans="1:3" x14ac:dyDescent="0.25">
      <c r="A1307" t="s">
        <v>3</v>
      </c>
      <c r="B1307" s="1">
        <v>-9577</v>
      </c>
      <c r="C1307" s="1">
        <v>2450</v>
      </c>
    </row>
    <row r="1308" spans="1:3" x14ac:dyDescent="0.25">
      <c r="A1308" s="1">
        <v>1307</v>
      </c>
      <c r="B1308" s="1">
        <v>-9510</v>
      </c>
      <c r="C1308" s="1">
        <v>2450</v>
      </c>
    </row>
    <row r="1309" spans="1:3" x14ac:dyDescent="0.25">
      <c r="A1309" s="1">
        <v>1953</v>
      </c>
      <c r="B1309" s="1">
        <v>-9399</v>
      </c>
      <c r="C1309" s="1">
        <v>2450</v>
      </c>
    </row>
    <row r="1310" spans="1:3" x14ac:dyDescent="0.25">
      <c r="A1310" s="1">
        <v>2590</v>
      </c>
      <c r="B1310" s="1">
        <v>-9244</v>
      </c>
      <c r="C1310" s="1">
        <v>2450</v>
      </c>
    </row>
    <row r="1311" spans="1:3" x14ac:dyDescent="0.25">
      <c r="A1311" s="1">
        <v>3216</v>
      </c>
      <c r="B1311" s="1">
        <v>-9045</v>
      </c>
      <c r="C1311" s="1">
        <v>2450</v>
      </c>
    </row>
    <row r="1312" spans="1:3" x14ac:dyDescent="0.25">
      <c r="A1312" s="1">
        <v>4122</v>
      </c>
      <c r="B1312" s="1">
        <v>-8670</v>
      </c>
      <c r="C1312" s="1">
        <v>2450</v>
      </c>
    </row>
    <row r="1313" spans="1:3" x14ac:dyDescent="0.25">
      <c r="A1313" s="1">
        <v>4702</v>
      </c>
      <c r="B1313" s="1">
        <v>-8369</v>
      </c>
      <c r="C1313" s="1">
        <v>2450</v>
      </c>
    </row>
    <row r="1314" spans="1:3" x14ac:dyDescent="0.25">
      <c r="A1314" s="1">
        <v>5539</v>
      </c>
      <c r="B1314" s="1">
        <v>-7841</v>
      </c>
      <c r="C1314" s="1">
        <v>2450</v>
      </c>
    </row>
    <row r="1315" spans="1:3" x14ac:dyDescent="0.25">
      <c r="A1315" s="1">
        <v>6058</v>
      </c>
      <c r="B1315" s="1">
        <v>-7447</v>
      </c>
      <c r="C1315" s="1">
        <v>2450</v>
      </c>
    </row>
    <row r="1316" spans="1:3" x14ac:dyDescent="0.25">
      <c r="A1316" s="1">
        <v>6552</v>
      </c>
      <c r="B1316" s="1">
        <v>-7016</v>
      </c>
      <c r="C1316" s="1">
        <v>2450</v>
      </c>
    </row>
    <row r="1317" spans="1:3" x14ac:dyDescent="0.25">
      <c r="A1317" s="1">
        <v>7016</v>
      </c>
      <c r="B1317" s="1">
        <v>-6552</v>
      </c>
      <c r="C1317" s="1">
        <v>2450</v>
      </c>
    </row>
    <row r="1318" spans="1:3" x14ac:dyDescent="0.25">
      <c r="A1318" s="1">
        <v>7447</v>
      </c>
      <c r="B1318" s="1">
        <v>-6058</v>
      </c>
      <c r="C1318" s="1">
        <v>2450</v>
      </c>
    </row>
    <row r="1319" spans="1:3" x14ac:dyDescent="0.25">
      <c r="A1319" s="1">
        <v>7843</v>
      </c>
      <c r="B1319" s="1">
        <v>-5536</v>
      </c>
      <c r="C1319" s="1">
        <v>2450</v>
      </c>
    </row>
    <row r="1320" spans="1:3" x14ac:dyDescent="0.25">
      <c r="A1320" s="1">
        <v>8202</v>
      </c>
      <c r="B1320" s="1">
        <v>-4988</v>
      </c>
      <c r="C1320" s="1">
        <v>2450</v>
      </c>
    </row>
    <row r="1321" spans="1:3" x14ac:dyDescent="0.25">
      <c r="A1321" s="1">
        <v>8524</v>
      </c>
      <c r="B1321" s="1">
        <v>-4415</v>
      </c>
      <c r="C1321" s="1">
        <v>2450</v>
      </c>
    </row>
    <row r="1322" spans="1:3" x14ac:dyDescent="0.25">
      <c r="A1322" s="1">
        <v>8732</v>
      </c>
      <c r="B1322" s="1">
        <v>-3986</v>
      </c>
      <c r="C1322" s="1">
        <v>2450</v>
      </c>
    </row>
    <row r="1323" spans="1:3" x14ac:dyDescent="0.25">
      <c r="A1323" s="1">
        <v>8930</v>
      </c>
      <c r="B1323" s="1">
        <v>-3523</v>
      </c>
      <c r="C1323" s="1">
        <v>2450</v>
      </c>
    </row>
    <row r="1324" spans="1:3" x14ac:dyDescent="0.25">
      <c r="A1324" s="1">
        <v>9150</v>
      </c>
      <c r="B1324" s="1">
        <v>-2904</v>
      </c>
      <c r="C1324" s="1">
        <v>2450</v>
      </c>
    </row>
    <row r="1325" spans="1:3" x14ac:dyDescent="0.25">
      <c r="A1325" s="1">
        <v>9327</v>
      </c>
      <c r="B1325" s="1">
        <v>-2273</v>
      </c>
      <c r="C1325" s="1">
        <v>2450</v>
      </c>
    </row>
    <row r="1326" spans="1:3" x14ac:dyDescent="0.25">
      <c r="A1326" s="1">
        <v>9460</v>
      </c>
      <c r="B1326" s="1">
        <v>-1631</v>
      </c>
      <c r="C1326" s="1">
        <v>2450</v>
      </c>
    </row>
    <row r="1327" spans="1:3" x14ac:dyDescent="0.25">
      <c r="A1327" s="1">
        <v>9549</v>
      </c>
      <c r="B1327">
        <f>0.982</f>
        <v>0.98199999999999998</v>
      </c>
      <c r="C1327" s="1">
        <v>2450</v>
      </c>
    </row>
    <row r="1328" spans="1:3" x14ac:dyDescent="0.25">
      <c r="A1328" s="1">
        <v>9594</v>
      </c>
      <c r="B1328">
        <f>0.328</f>
        <v>0.32800000000000001</v>
      </c>
      <c r="C1328" s="1">
        <v>2450</v>
      </c>
    </row>
    <row r="1329" spans="1:3" x14ac:dyDescent="0.25">
      <c r="A1329" s="1">
        <v>9594</v>
      </c>
      <c r="B1329">
        <v>0.32800000000000001</v>
      </c>
      <c r="C1329" s="1">
        <v>2450</v>
      </c>
    </row>
    <row r="1330" spans="1:3" x14ac:dyDescent="0.25">
      <c r="A1330" s="1">
        <v>9549</v>
      </c>
      <c r="B1330">
        <v>0.98199999999999998</v>
      </c>
      <c r="C1330" s="1">
        <v>2450</v>
      </c>
    </row>
    <row r="1331" spans="1:3" x14ac:dyDescent="0.25">
      <c r="A1331" s="1">
        <v>9460</v>
      </c>
      <c r="B1331" s="1">
        <v>1631</v>
      </c>
      <c r="C1331" s="1">
        <v>2450</v>
      </c>
    </row>
    <row r="1332" spans="1:3" x14ac:dyDescent="0.25">
      <c r="A1332" s="1">
        <v>9328</v>
      </c>
      <c r="B1332" s="1">
        <v>2270</v>
      </c>
      <c r="C1332" s="1">
        <v>2450</v>
      </c>
    </row>
    <row r="1333" spans="1:3" x14ac:dyDescent="0.25">
      <c r="A1333" s="1">
        <v>9044</v>
      </c>
      <c r="B1333" s="1">
        <v>3218</v>
      </c>
      <c r="C1333" s="1">
        <v>2450</v>
      </c>
    </row>
    <row r="1334" spans="1:3" x14ac:dyDescent="0.25">
      <c r="A1334" s="1">
        <v>8805</v>
      </c>
      <c r="B1334" s="1">
        <v>3825</v>
      </c>
      <c r="C1334" s="1">
        <v>2450</v>
      </c>
    </row>
    <row r="1335" spans="1:3" x14ac:dyDescent="0.25">
      <c r="A1335" s="1">
        <v>8525</v>
      </c>
      <c r="B1335" s="1">
        <v>4413</v>
      </c>
      <c r="C1335" s="1">
        <v>2450</v>
      </c>
    </row>
    <row r="1336" spans="1:3" x14ac:dyDescent="0.25">
      <c r="A1336" s="1">
        <v>8027</v>
      </c>
      <c r="B1336" s="1">
        <v>5265</v>
      </c>
      <c r="C1336" s="1">
        <v>2450</v>
      </c>
    </row>
    <row r="1337" spans="1:3" x14ac:dyDescent="0.25">
      <c r="A1337" s="1">
        <v>7446</v>
      </c>
      <c r="B1337" s="1">
        <v>6058</v>
      </c>
      <c r="C1337" s="1">
        <v>2450</v>
      </c>
    </row>
    <row r="1338" spans="1:3" x14ac:dyDescent="0.25">
      <c r="A1338" s="1">
        <v>6788</v>
      </c>
      <c r="B1338" s="1">
        <v>6788</v>
      </c>
      <c r="C1338" s="1">
        <v>2450</v>
      </c>
    </row>
    <row r="1339" spans="1:3" x14ac:dyDescent="0.25">
      <c r="A1339" s="1">
        <v>6058</v>
      </c>
      <c r="B1339" s="1">
        <v>7446</v>
      </c>
      <c r="C1339" s="1">
        <v>2450</v>
      </c>
    </row>
    <row r="1340" spans="1:3" x14ac:dyDescent="0.25">
      <c r="A1340" s="1">
        <v>5265</v>
      </c>
      <c r="B1340" s="1">
        <v>8027</v>
      </c>
      <c r="C1340" s="1">
        <v>2450</v>
      </c>
    </row>
    <row r="1341" spans="1:3" x14ac:dyDescent="0.25">
      <c r="A1341" s="1">
        <v>4416</v>
      </c>
      <c r="B1341" s="1">
        <v>8523</v>
      </c>
      <c r="C1341" s="1">
        <v>2450</v>
      </c>
    </row>
    <row r="1342" spans="1:3" x14ac:dyDescent="0.25">
      <c r="A1342" s="1">
        <v>3522</v>
      </c>
      <c r="B1342" s="1">
        <v>8930</v>
      </c>
      <c r="C1342" s="1">
        <v>2450</v>
      </c>
    </row>
    <row r="1343" spans="1:3" x14ac:dyDescent="0.25">
      <c r="A1343" s="1">
        <v>2587</v>
      </c>
      <c r="B1343" s="1">
        <v>9245</v>
      </c>
      <c r="C1343" s="1">
        <v>2450</v>
      </c>
    </row>
    <row r="1344" spans="1:3" x14ac:dyDescent="0.25">
      <c r="A1344" s="1">
        <v>1952</v>
      </c>
      <c r="B1344" s="1">
        <v>9399</v>
      </c>
      <c r="C1344" s="1">
        <v>2450</v>
      </c>
    </row>
    <row r="1345" spans="1:3" x14ac:dyDescent="0.25">
      <c r="A1345" s="1">
        <v>1482</v>
      </c>
      <c r="B1345" s="1">
        <v>9483</v>
      </c>
      <c r="C1345" s="1">
        <v>2450</v>
      </c>
    </row>
    <row r="1346" spans="1:3" x14ac:dyDescent="0.25">
      <c r="A1346" t="s">
        <v>52</v>
      </c>
      <c r="B1346" s="1">
        <v>9549</v>
      </c>
      <c r="C1346" s="1">
        <v>2450</v>
      </c>
    </row>
    <row r="1347" spans="1:3" x14ac:dyDescent="0.25">
      <c r="A1347" t="s">
        <v>17</v>
      </c>
      <c r="B1347" s="1">
        <v>9594</v>
      </c>
      <c r="C1347" s="1">
        <v>2450</v>
      </c>
    </row>
    <row r="1348" spans="1:3" x14ac:dyDescent="0.25">
      <c r="A1348" s="1">
        <v>-9480</v>
      </c>
      <c r="B1348" s="1">
        <v>9600</v>
      </c>
      <c r="C1348" s="1">
        <v>2450</v>
      </c>
    </row>
    <row r="1349" spans="1:3" x14ac:dyDescent="0.25">
      <c r="A1349" s="1">
        <v>-9201</v>
      </c>
      <c r="B1349" s="1">
        <v>8906</v>
      </c>
      <c r="C1349" s="1">
        <v>2450</v>
      </c>
    </row>
    <row r="1350" spans="1:3" x14ac:dyDescent="0.25">
      <c r="A1350" s="1">
        <v>-1765</v>
      </c>
      <c r="B1350" s="1">
        <v>6588</v>
      </c>
      <c r="C1350" s="1">
        <v>2450</v>
      </c>
    </row>
    <row r="1351" spans="1:3" x14ac:dyDescent="0.25">
      <c r="A1351" s="1">
        <v>1712</v>
      </c>
      <c r="B1351" s="1">
        <v>-6391</v>
      </c>
      <c r="C1351" s="1">
        <v>2450</v>
      </c>
    </row>
    <row r="1352" spans="1:3" x14ac:dyDescent="0.25">
      <c r="A1352" s="1">
        <v>3522</v>
      </c>
      <c r="B1352" s="1">
        <v>3522</v>
      </c>
      <c r="C1352" s="1">
        <v>2450</v>
      </c>
    </row>
    <row r="1353" spans="1:3" x14ac:dyDescent="0.25">
      <c r="A1353" s="1">
        <v>3920</v>
      </c>
      <c r="B1353" s="1">
        <v>3081</v>
      </c>
      <c r="C1353" s="1">
        <v>2450</v>
      </c>
    </row>
    <row r="1354" spans="1:3" x14ac:dyDescent="0.25">
      <c r="A1354" s="1">
        <v>4270</v>
      </c>
      <c r="B1354" s="1">
        <v>2602</v>
      </c>
      <c r="C1354" s="1">
        <v>2450</v>
      </c>
    </row>
    <row r="1355" spans="1:3" x14ac:dyDescent="0.25">
      <c r="A1355" s="1">
        <v>4588</v>
      </c>
      <c r="B1355" s="1">
        <v>2059</v>
      </c>
      <c r="C1355" s="1">
        <v>2450</v>
      </c>
    </row>
    <row r="1356" spans="1:3" x14ac:dyDescent="0.25">
      <c r="A1356" s="1">
        <v>4743</v>
      </c>
      <c r="B1356" s="1">
        <v>1733</v>
      </c>
      <c r="C1356" s="1">
        <v>2450</v>
      </c>
    </row>
    <row r="1357" spans="1:3" x14ac:dyDescent="0.25">
      <c r="A1357" s="1">
        <v>4875</v>
      </c>
      <c r="B1357" s="1">
        <v>1398</v>
      </c>
      <c r="C1357" s="1">
        <v>2450</v>
      </c>
    </row>
    <row r="1358" spans="1:3" x14ac:dyDescent="0.25">
      <c r="A1358" s="1">
        <v>5065</v>
      </c>
      <c r="B1358">
        <v>0.76100000000000001</v>
      </c>
      <c r="C1358" s="1">
        <v>2450</v>
      </c>
    </row>
    <row r="1359" spans="1:3" x14ac:dyDescent="0.25">
      <c r="A1359" s="1">
        <v>5139</v>
      </c>
      <c r="B1359">
        <v>0.40799999999999997</v>
      </c>
      <c r="C1359" s="1">
        <v>2450</v>
      </c>
    </row>
    <row r="1360" spans="1:3" x14ac:dyDescent="0.25">
      <c r="A1360" s="1">
        <v>5193</v>
      </c>
      <c r="B1360">
        <v>1.4999999999999999E-2</v>
      </c>
      <c r="C1360" s="1">
        <v>2450</v>
      </c>
    </row>
    <row r="1361" spans="1:3" x14ac:dyDescent="0.25">
      <c r="A1361" s="1">
        <v>5220</v>
      </c>
      <c r="B1361">
        <f>0.38</f>
        <v>0.38</v>
      </c>
      <c r="C1361" s="1">
        <v>2450</v>
      </c>
    </row>
    <row r="1362" spans="1:3" x14ac:dyDescent="0.25">
      <c r="A1362" s="1">
        <v>5220</v>
      </c>
      <c r="B1362">
        <f>0.776</f>
        <v>0.77600000000000002</v>
      </c>
      <c r="C1362" s="1">
        <v>2450</v>
      </c>
    </row>
    <row r="1363" spans="1:3" x14ac:dyDescent="0.25">
      <c r="A1363" s="1">
        <v>5193</v>
      </c>
      <c r="B1363" s="1">
        <v>-1171</v>
      </c>
      <c r="C1363" s="1">
        <v>2450</v>
      </c>
    </row>
    <row r="1364" spans="1:3" x14ac:dyDescent="0.25">
      <c r="A1364" s="1">
        <v>5139</v>
      </c>
      <c r="B1364" s="1">
        <v>-1563</v>
      </c>
      <c r="C1364" s="1">
        <v>2450</v>
      </c>
    </row>
    <row r="1365" spans="1:3" x14ac:dyDescent="0.25">
      <c r="A1365" s="1">
        <v>5058</v>
      </c>
      <c r="B1365" s="1">
        <v>-1951</v>
      </c>
      <c r="C1365" s="1">
        <v>2450</v>
      </c>
    </row>
    <row r="1366" spans="1:3" x14ac:dyDescent="0.25">
      <c r="A1366" s="1">
        <v>4951</v>
      </c>
      <c r="B1366" s="1">
        <v>-2333</v>
      </c>
      <c r="C1366" s="1">
        <v>2450</v>
      </c>
    </row>
    <row r="1367" spans="1:3" x14ac:dyDescent="0.25">
      <c r="A1367" s="1">
        <v>4698</v>
      </c>
      <c r="B1367" s="1">
        <v>-2989</v>
      </c>
      <c r="C1367" s="1">
        <v>2450</v>
      </c>
    </row>
    <row r="1368" spans="1:3" x14ac:dyDescent="0.25">
      <c r="A1368" s="1">
        <v>4379</v>
      </c>
      <c r="B1368" s="1">
        <v>-3592</v>
      </c>
      <c r="C1368" s="1">
        <v>2450</v>
      </c>
    </row>
    <row r="1369" spans="1:3" x14ac:dyDescent="0.25">
      <c r="A1369" s="1">
        <v>4161</v>
      </c>
      <c r="B1369" s="1">
        <v>-3923</v>
      </c>
      <c r="C1369" s="1">
        <v>2450</v>
      </c>
    </row>
    <row r="1370" spans="1:3" x14ac:dyDescent="0.25">
      <c r="A1370" s="1">
        <v>3922</v>
      </c>
      <c r="B1370" s="1">
        <v>-4239</v>
      </c>
      <c r="C1370" s="1">
        <v>2450</v>
      </c>
    </row>
    <row r="1371" spans="1:3" x14ac:dyDescent="0.25">
      <c r="A1371" s="1">
        <v>3662</v>
      </c>
      <c r="B1371" s="1">
        <v>-4537</v>
      </c>
      <c r="C1371" s="1">
        <v>2450</v>
      </c>
    </row>
    <row r="1372" spans="1:3" x14ac:dyDescent="0.25">
      <c r="A1372" s="1">
        <v>3382</v>
      </c>
      <c r="B1372" s="1">
        <v>-4817</v>
      </c>
      <c r="C1372" s="1">
        <v>2450</v>
      </c>
    </row>
    <row r="1373" spans="1:3" x14ac:dyDescent="0.25">
      <c r="A1373" s="1">
        <v>3083</v>
      </c>
      <c r="B1373" s="1">
        <v>-5077</v>
      </c>
      <c r="C1373" s="1">
        <v>2450</v>
      </c>
    </row>
    <row r="1374" spans="1:3" x14ac:dyDescent="0.25">
      <c r="A1374" s="1">
        <v>2796</v>
      </c>
      <c r="B1374" s="1">
        <v>-5295</v>
      </c>
      <c r="C1374" s="1">
        <v>2450</v>
      </c>
    </row>
    <row r="1375" spans="1:3" x14ac:dyDescent="0.25">
      <c r="A1375" s="1">
        <v>2233</v>
      </c>
      <c r="B1375" s="1">
        <v>-5651</v>
      </c>
      <c r="C1375" s="1">
        <v>2450</v>
      </c>
    </row>
    <row r="1376" spans="1:3" x14ac:dyDescent="0.25">
      <c r="A1376" s="1">
        <v>1904</v>
      </c>
      <c r="B1376" s="1">
        <v>-5821</v>
      </c>
      <c r="C1376" s="1">
        <v>2450</v>
      </c>
    </row>
    <row r="1377" spans="1:3" x14ac:dyDescent="0.25">
      <c r="A1377" s="1">
        <v>1377</v>
      </c>
      <c r="B1377" s="1">
        <v>-6040</v>
      </c>
      <c r="C1377" s="1">
        <v>2450</v>
      </c>
    </row>
    <row r="1378" spans="1:3" x14ac:dyDescent="0.25">
      <c r="A1378" t="s">
        <v>9</v>
      </c>
      <c r="B1378" s="1">
        <v>-6163</v>
      </c>
      <c r="C1378" s="1">
        <v>2450</v>
      </c>
    </row>
    <row r="1379" spans="1:3" x14ac:dyDescent="0.25">
      <c r="A1379" t="s">
        <v>33</v>
      </c>
      <c r="B1379" s="1">
        <v>-6257</v>
      </c>
      <c r="C1379" s="1">
        <v>2450</v>
      </c>
    </row>
    <row r="1380" spans="1:3" x14ac:dyDescent="0.25">
      <c r="A1380" t="s">
        <v>34</v>
      </c>
      <c r="B1380" s="1">
        <v>-6324</v>
      </c>
      <c r="C1380" s="1">
        <v>2450</v>
      </c>
    </row>
    <row r="1381" spans="1:3" x14ac:dyDescent="0.25">
      <c r="A1381" t="e" vm="8">
        <f>_FV(0,"504")</f>
        <v>#VALUE!</v>
      </c>
      <c r="B1381" s="1">
        <v>-6378</v>
      </c>
      <c r="C1381" s="1">
        <v>2450</v>
      </c>
    </row>
    <row r="1382" spans="1:3" x14ac:dyDescent="0.25">
      <c r="A1382" s="1">
        <v>-6380</v>
      </c>
      <c r="B1382" s="1">
        <v>-6380</v>
      </c>
      <c r="C1382" s="1">
        <v>2450</v>
      </c>
    </row>
    <row r="1383" spans="1:3" x14ac:dyDescent="0.25">
      <c r="A1383" s="1">
        <v>4677</v>
      </c>
      <c r="B1383" s="1">
        <v>4677</v>
      </c>
      <c r="C1383" s="1">
        <v>2450</v>
      </c>
    </row>
    <row r="1384" spans="1:3" x14ac:dyDescent="0.25">
      <c r="A1384" s="1">
        <v>4677</v>
      </c>
      <c r="B1384" s="1">
        <v>4677</v>
      </c>
      <c r="C1384" s="1">
        <v>2750</v>
      </c>
    </row>
    <row r="1385" spans="1:3" x14ac:dyDescent="0.25">
      <c r="A1385" s="1">
        <v>-7289</v>
      </c>
      <c r="B1385" s="1">
        <v>7287</v>
      </c>
      <c r="C1385" s="1">
        <v>2750</v>
      </c>
    </row>
    <row r="1386" spans="1:3" x14ac:dyDescent="0.25">
      <c r="A1386" s="1">
        <v>-7289</v>
      </c>
      <c r="B1386" s="1">
        <v>-7288</v>
      </c>
      <c r="C1386" s="1">
        <v>2750</v>
      </c>
    </row>
    <row r="1387" spans="1:3" x14ac:dyDescent="0.25">
      <c r="A1387" t="s">
        <v>53</v>
      </c>
      <c r="B1387" s="1">
        <v>-7286</v>
      </c>
      <c r="C1387" s="1">
        <v>2750</v>
      </c>
    </row>
    <row r="1388" spans="1:3" x14ac:dyDescent="0.25">
      <c r="A1388" t="s">
        <v>54</v>
      </c>
      <c r="B1388" s="1">
        <v>-7271</v>
      </c>
      <c r="C1388" s="1">
        <v>2750</v>
      </c>
    </row>
    <row r="1389" spans="1:3" x14ac:dyDescent="0.25">
      <c r="A1389" t="s">
        <v>11</v>
      </c>
      <c r="B1389" s="1">
        <v>-7219</v>
      </c>
      <c r="C1389" s="1">
        <v>2750</v>
      </c>
    </row>
    <row r="1390" spans="1:3" x14ac:dyDescent="0.25">
      <c r="A1390" s="1">
        <v>1483</v>
      </c>
      <c r="B1390" s="1">
        <v>-7135</v>
      </c>
      <c r="C1390" s="1">
        <v>2750</v>
      </c>
    </row>
    <row r="1391" spans="1:3" x14ac:dyDescent="0.25">
      <c r="A1391" s="1">
        <v>1966</v>
      </c>
      <c r="B1391" s="1">
        <v>-7017</v>
      </c>
      <c r="C1391" s="1">
        <v>2750</v>
      </c>
    </row>
    <row r="1392" spans="1:3" x14ac:dyDescent="0.25">
      <c r="A1392" s="1">
        <v>2447</v>
      </c>
      <c r="B1392" s="1">
        <v>-6864</v>
      </c>
      <c r="C1392" s="1">
        <v>2750</v>
      </c>
    </row>
    <row r="1393" spans="1:3" x14ac:dyDescent="0.25">
      <c r="A1393" s="1">
        <v>3122</v>
      </c>
      <c r="B1393" s="1">
        <v>-6585</v>
      </c>
      <c r="C1393" s="1">
        <v>2750</v>
      </c>
    </row>
    <row r="1394" spans="1:3" x14ac:dyDescent="0.25">
      <c r="A1394" s="1">
        <v>3551</v>
      </c>
      <c r="B1394" s="1">
        <v>-6363</v>
      </c>
      <c r="C1394" s="1">
        <v>2750</v>
      </c>
    </row>
    <row r="1395" spans="1:3" x14ac:dyDescent="0.25">
      <c r="A1395" s="1">
        <v>4221</v>
      </c>
      <c r="B1395" s="1">
        <v>-5939</v>
      </c>
      <c r="C1395" s="1">
        <v>2750</v>
      </c>
    </row>
    <row r="1396" spans="1:3" x14ac:dyDescent="0.25">
      <c r="A1396" s="1">
        <v>4599</v>
      </c>
      <c r="B1396" s="1">
        <v>-5653</v>
      </c>
      <c r="C1396" s="1">
        <v>2750</v>
      </c>
    </row>
    <row r="1397" spans="1:3" x14ac:dyDescent="0.25">
      <c r="A1397" s="1">
        <v>4974</v>
      </c>
      <c r="B1397" s="1">
        <v>-5326</v>
      </c>
      <c r="C1397" s="1">
        <v>2750</v>
      </c>
    </row>
    <row r="1398" spans="1:3" x14ac:dyDescent="0.25">
      <c r="A1398" s="1">
        <v>5326</v>
      </c>
      <c r="B1398" s="1">
        <v>-4974</v>
      </c>
      <c r="C1398" s="1">
        <v>2750</v>
      </c>
    </row>
    <row r="1399" spans="1:3" x14ac:dyDescent="0.25">
      <c r="A1399" s="1">
        <v>5653</v>
      </c>
      <c r="B1399" s="1">
        <v>-4599</v>
      </c>
      <c r="C1399" s="1">
        <v>2750</v>
      </c>
    </row>
    <row r="1400" spans="1:3" x14ac:dyDescent="0.25">
      <c r="A1400" s="1">
        <v>5953</v>
      </c>
      <c r="B1400" s="1">
        <v>-4202</v>
      </c>
      <c r="C1400" s="1">
        <v>2750</v>
      </c>
    </row>
    <row r="1401" spans="1:3" x14ac:dyDescent="0.25">
      <c r="A1401" s="1">
        <v>6226</v>
      </c>
      <c r="B1401" s="1">
        <v>-3786</v>
      </c>
      <c r="C1401" s="1">
        <v>2750</v>
      </c>
    </row>
    <row r="1402" spans="1:3" x14ac:dyDescent="0.25">
      <c r="A1402" s="1">
        <v>6470</v>
      </c>
      <c r="B1402" s="1">
        <v>-3353</v>
      </c>
      <c r="C1402" s="1">
        <v>2750</v>
      </c>
    </row>
    <row r="1403" spans="1:3" x14ac:dyDescent="0.25">
      <c r="A1403" s="1">
        <v>6684</v>
      </c>
      <c r="B1403" s="1">
        <v>-2903</v>
      </c>
      <c r="C1403" s="1">
        <v>2750</v>
      </c>
    </row>
    <row r="1404" spans="1:3" x14ac:dyDescent="0.25">
      <c r="A1404" s="1">
        <v>6866</v>
      </c>
      <c r="B1404" s="1">
        <v>-2440</v>
      </c>
      <c r="C1404" s="1">
        <v>2750</v>
      </c>
    </row>
    <row r="1405" spans="1:3" x14ac:dyDescent="0.25">
      <c r="A1405" s="1">
        <v>7010</v>
      </c>
      <c r="B1405" s="1">
        <v>-1988</v>
      </c>
      <c r="C1405" s="1">
        <v>2750</v>
      </c>
    </row>
    <row r="1406" spans="1:3" x14ac:dyDescent="0.25">
      <c r="A1406" s="1">
        <v>7184</v>
      </c>
      <c r="B1406" s="1">
        <v>-1215</v>
      </c>
      <c r="C1406" s="1">
        <v>2750</v>
      </c>
    </row>
    <row r="1407" spans="1:3" x14ac:dyDescent="0.25">
      <c r="A1407" s="1">
        <v>7249</v>
      </c>
      <c r="B1407">
        <f>0.745</f>
        <v>0.745</v>
      </c>
      <c r="C1407" s="1">
        <v>2750</v>
      </c>
    </row>
    <row r="1408" spans="1:3" x14ac:dyDescent="0.25">
      <c r="A1408" s="1">
        <v>7283</v>
      </c>
      <c r="B1408">
        <f>0.249</f>
        <v>0.249</v>
      </c>
      <c r="C1408" s="1">
        <v>2750</v>
      </c>
    </row>
    <row r="1409" spans="1:3" x14ac:dyDescent="0.25">
      <c r="A1409" s="1">
        <v>7283</v>
      </c>
      <c r="B1409">
        <v>0.249</v>
      </c>
      <c r="C1409" s="1">
        <v>2750</v>
      </c>
    </row>
    <row r="1410" spans="1:3" x14ac:dyDescent="0.25">
      <c r="A1410" s="1">
        <v>7249</v>
      </c>
      <c r="B1410">
        <v>0.745</v>
      </c>
      <c r="C1410" s="1">
        <v>2750</v>
      </c>
    </row>
    <row r="1411" spans="1:3" x14ac:dyDescent="0.25">
      <c r="A1411" s="1">
        <v>7181</v>
      </c>
      <c r="B1411" s="1">
        <v>1238</v>
      </c>
      <c r="C1411" s="1">
        <v>2750</v>
      </c>
    </row>
    <row r="1412" spans="1:3" x14ac:dyDescent="0.25">
      <c r="A1412" s="1">
        <v>7085</v>
      </c>
      <c r="B1412" s="1">
        <v>1703</v>
      </c>
      <c r="C1412" s="1">
        <v>2750</v>
      </c>
    </row>
    <row r="1413" spans="1:3" x14ac:dyDescent="0.25">
      <c r="A1413" s="1">
        <v>6858</v>
      </c>
      <c r="B1413" s="1">
        <v>2462</v>
      </c>
      <c r="C1413" s="1">
        <v>2750</v>
      </c>
    </row>
    <row r="1414" spans="1:3" x14ac:dyDescent="0.25">
      <c r="A1414" s="1">
        <v>6684</v>
      </c>
      <c r="B1414" s="1">
        <v>2903</v>
      </c>
      <c r="C1414" s="1">
        <v>2750</v>
      </c>
    </row>
    <row r="1415" spans="1:3" x14ac:dyDescent="0.25">
      <c r="A1415" s="1">
        <v>6480</v>
      </c>
      <c r="B1415" s="1">
        <v>3332</v>
      </c>
      <c r="C1415" s="1">
        <v>2750</v>
      </c>
    </row>
    <row r="1416" spans="1:3" x14ac:dyDescent="0.25">
      <c r="A1416" s="1">
        <v>6092</v>
      </c>
      <c r="B1416" s="1">
        <v>3996</v>
      </c>
      <c r="C1416" s="1">
        <v>2750</v>
      </c>
    </row>
    <row r="1417" spans="1:3" x14ac:dyDescent="0.25">
      <c r="A1417" s="1">
        <v>5651</v>
      </c>
      <c r="B1417" s="1">
        <v>4598</v>
      </c>
      <c r="C1417" s="1">
        <v>2750</v>
      </c>
    </row>
    <row r="1418" spans="1:3" x14ac:dyDescent="0.25">
      <c r="A1418" s="1">
        <v>5151</v>
      </c>
      <c r="B1418" s="1">
        <v>5151</v>
      </c>
      <c r="C1418" s="1">
        <v>2750</v>
      </c>
    </row>
    <row r="1419" spans="1:3" x14ac:dyDescent="0.25">
      <c r="A1419" s="1">
        <v>4598</v>
      </c>
      <c r="B1419" s="1">
        <v>5651</v>
      </c>
      <c r="C1419" s="1">
        <v>2750</v>
      </c>
    </row>
    <row r="1420" spans="1:3" x14ac:dyDescent="0.25">
      <c r="A1420" s="1">
        <v>3996</v>
      </c>
      <c r="B1420" s="1">
        <v>6092</v>
      </c>
      <c r="C1420" s="1">
        <v>2750</v>
      </c>
    </row>
    <row r="1421" spans="1:3" x14ac:dyDescent="0.25">
      <c r="A1421" s="1">
        <v>3352</v>
      </c>
      <c r="B1421" s="1">
        <v>6468</v>
      </c>
      <c r="C1421" s="1">
        <v>2750</v>
      </c>
    </row>
    <row r="1422" spans="1:3" x14ac:dyDescent="0.25">
      <c r="A1422" s="1">
        <v>2673</v>
      </c>
      <c r="B1422" s="1">
        <v>6777</v>
      </c>
      <c r="C1422" s="1">
        <v>2750</v>
      </c>
    </row>
    <row r="1423" spans="1:3" x14ac:dyDescent="0.25">
      <c r="A1423" s="1">
        <v>1944</v>
      </c>
      <c r="B1423" s="1">
        <v>7022</v>
      </c>
      <c r="C1423" s="1">
        <v>2750</v>
      </c>
    </row>
    <row r="1424" spans="1:3" x14ac:dyDescent="0.25">
      <c r="A1424" s="1">
        <v>1476</v>
      </c>
      <c r="B1424" s="1">
        <v>7136</v>
      </c>
      <c r="C1424" s="1">
        <v>2750</v>
      </c>
    </row>
    <row r="1425" spans="1:3" x14ac:dyDescent="0.25">
      <c r="A1425" s="1">
        <v>1109</v>
      </c>
      <c r="B1425" s="1">
        <v>7202</v>
      </c>
      <c r="C1425" s="1">
        <v>2750</v>
      </c>
    </row>
    <row r="1426" spans="1:3" x14ac:dyDescent="0.25">
      <c r="A1426" t="s">
        <v>55</v>
      </c>
      <c r="B1426" s="1">
        <v>7248</v>
      </c>
      <c r="C1426" s="1">
        <v>2750</v>
      </c>
    </row>
    <row r="1427" spans="1:3" x14ac:dyDescent="0.25">
      <c r="A1427" t="s">
        <v>13</v>
      </c>
      <c r="B1427" s="1">
        <v>7283</v>
      </c>
      <c r="C1427" s="1">
        <v>2750</v>
      </c>
    </row>
    <row r="1428" spans="1:3" x14ac:dyDescent="0.25">
      <c r="A1428" s="1">
        <v>-7169</v>
      </c>
      <c r="B1428" s="1">
        <v>7287</v>
      </c>
      <c r="C1428" s="1">
        <v>2750</v>
      </c>
    </row>
    <row r="1429" spans="1:3" x14ac:dyDescent="0.25">
      <c r="A1429" s="1">
        <v>-8584</v>
      </c>
      <c r="B1429" s="1">
        <v>8584</v>
      </c>
      <c r="C1429" s="1">
        <v>2750</v>
      </c>
    </row>
    <row r="1430" spans="1:3" x14ac:dyDescent="0.25">
      <c r="A1430" s="1">
        <v>-8584</v>
      </c>
      <c r="B1430" s="1">
        <v>-8584</v>
      </c>
      <c r="C1430" s="1">
        <v>2750</v>
      </c>
    </row>
    <row r="1431" spans="1:3" x14ac:dyDescent="0.25">
      <c r="A1431" t="s">
        <v>51</v>
      </c>
      <c r="B1431" s="1">
        <v>-8581</v>
      </c>
      <c r="C1431" s="1">
        <v>2750</v>
      </c>
    </row>
    <row r="1432" spans="1:3" x14ac:dyDescent="0.25">
      <c r="A1432" t="s">
        <v>50</v>
      </c>
      <c r="B1432" s="1">
        <v>-8564</v>
      </c>
      <c r="C1432" s="1">
        <v>2750</v>
      </c>
    </row>
    <row r="1433" spans="1:3" x14ac:dyDescent="0.25">
      <c r="A1433" s="1">
        <v>1169</v>
      </c>
      <c r="B1433" s="1">
        <v>-8504</v>
      </c>
      <c r="C1433" s="1">
        <v>2750</v>
      </c>
    </row>
    <row r="1434" spans="1:3" x14ac:dyDescent="0.25">
      <c r="A1434" s="1">
        <v>1746</v>
      </c>
      <c r="B1434" s="1">
        <v>-8404</v>
      </c>
      <c r="C1434" s="1">
        <v>2750</v>
      </c>
    </row>
    <row r="1435" spans="1:3" x14ac:dyDescent="0.25">
      <c r="A1435" s="1">
        <v>2316</v>
      </c>
      <c r="B1435" s="1">
        <v>-8265</v>
      </c>
      <c r="C1435" s="1">
        <v>2750</v>
      </c>
    </row>
    <row r="1436" spans="1:3" x14ac:dyDescent="0.25">
      <c r="A1436" s="1">
        <v>2878</v>
      </c>
      <c r="B1436" s="1">
        <v>-8087</v>
      </c>
      <c r="C1436" s="1">
        <v>2750</v>
      </c>
    </row>
    <row r="1437" spans="1:3" x14ac:dyDescent="0.25">
      <c r="A1437" s="1">
        <v>3683</v>
      </c>
      <c r="B1437" s="1">
        <v>-7754</v>
      </c>
      <c r="C1437" s="1">
        <v>2750</v>
      </c>
    </row>
    <row r="1438" spans="1:3" x14ac:dyDescent="0.25">
      <c r="A1438" s="1">
        <v>4196</v>
      </c>
      <c r="B1438" s="1">
        <v>-7488</v>
      </c>
      <c r="C1438" s="1">
        <v>2750</v>
      </c>
    </row>
    <row r="1439" spans="1:3" x14ac:dyDescent="0.25">
      <c r="A1439" s="1">
        <v>4960</v>
      </c>
      <c r="B1439" s="1">
        <v>-7005</v>
      </c>
      <c r="C1439" s="1">
        <v>2750</v>
      </c>
    </row>
    <row r="1440" spans="1:3" x14ac:dyDescent="0.25">
      <c r="A1440" s="1">
        <v>5417</v>
      </c>
      <c r="B1440" s="1">
        <v>-6658</v>
      </c>
      <c r="C1440" s="1">
        <v>2750</v>
      </c>
    </row>
    <row r="1441" spans="1:3" x14ac:dyDescent="0.25">
      <c r="A1441" s="1">
        <v>5859</v>
      </c>
      <c r="B1441" s="1">
        <v>-6273</v>
      </c>
      <c r="C1441" s="1">
        <v>2750</v>
      </c>
    </row>
    <row r="1442" spans="1:3" x14ac:dyDescent="0.25">
      <c r="A1442" s="1">
        <v>6273</v>
      </c>
      <c r="B1442" s="1">
        <v>-5859</v>
      </c>
      <c r="C1442" s="1">
        <v>2750</v>
      </c>
    </row>
    <row r="1443" spans="1:3" x14ac:dyDescent="0.25">
      <c r="A1443" s="1">
        <v>6658</v>
      </c>
      <c r="B1443" s="1">
        <v>-5417</v>
      </c>
      <c r="C1443" s="1">
        <v>2750</v>
      </c>
    </row>
    <row r="1444" spans="1:3" x14ac:dyDescent="0.25">
      <c r="A1444" s="1">
        <v>7013</v>
      </c>
      <c r="B1444" s="1">
        <v>-4950</v>
      </c>
      <c r="C1444" s="1">
        <v>2750</v>
      </c>
    </row>
    <row r="1445" spans="1:3" x14ac:dyDescent="0.25">
      <c r="A1445" s="1">
        <v>7334</v>
      </c>
      <c r="B1445" s="1">
        <v>-4460</v>
      </c>
      <c r="C1445" s="1">
        <v>2750</v>
      </c>
    </row>
    <row r="1446" spans="1:3" x14ac:dyDescent="0.25">
      <c r="A1446" s="1">
        <v>7621</v>
      </c>
      <c r="B1446" s="1">
        <v>-3949</v>
      </c>
      <c r="C1446" s="1">
        <v>2750</v>
      </c>
    </row>
    <row r="1447" spans="1:3" x14ac:dyDescent="0.25">
      <c r="A1447" s="1">
        <v>7873</v>
      </c>
      <c r="B1447" s="1">
        <v>-3420</v>
      </c>
      <c r="C1447" s="1">
        <v>2750</v>
      </c>
    </row>
    <row r="1448" spans="1:3" x14ac:dyDescent="0.25">
      <c r="A1448" s="1">
        <v>8088</v>
      </c>
      <c r="B1448" s="1">
        <v>-2874</v>
      </c>
      <c r="C1448" s="1">
        <v>2750</v>
      </c>
    </row>
    <row r="1449" spans="1:3" x14ac:dyDescent="0.25">
      <c r="A1449" s="1">
        <v>8262</v>
      </c>
      <c r="B1449" s="1">
        <v>-2327</v>
      </c>
      <c r="C1449" s="1">
        <v>2750</v>
      </c>
    </row>
    <row r="1450" spans="1:3" x14ac:dyDescent="0.25">
      <c r="A1450" s="1">
        <v>8460</v>
      </c>
      <c r="B1450" s="1">
        <v>-1446</v>
      </c>
      <c r="C1450" s="1">
        <v>2750</v>
      </c>
    </row>
    <row r="1451" spans="1:3" x14ac:dyDescent="0.25">
      <c r="A1451" s="1">
        <v>8539</v>
      </c>
      <c r="B1451">
        <f>0.878</f>
        <v>0.878</v>
      </c>
      <c r="C1451" s="1">
        <v>2750</v>
      </c>
    </row>
    <row r="1452" spans="1:3" x14ac:dyDescent="0.25">
      <c r="A1452" s="1">
        <v>8579</v>
      </c>
      <c r="B1452">
        <f>0.293</f>
        <v>0.29299999999999998</v>
      </c>
      <c r="C1452" s="1">
        <v>2750</v>
      </c>
    </row>
    <row r="1453" spans="1:3" x14ac:dyDescent="0.25">
      <c r="A1453" s="1">
        <v>8579</v>
      </c>
      <c r="B1453">
        <v>0.29299999999999998</v>
      </c>
      <c r="C1453" s="1">
        <v>2750</v>
      </c>
    </row>
    <row r="1454" spans="1:3" x14ac:dyDescent="0.25">
      <c r="A1454" s="1">
        <v>8539</v>
      </c>
      <c r="B1454">
        <v>0.878</v>
      </c>
      <c r="C1454" s="1">
        <v>2750</v>
      </c>
    </row>
    <row r="1455" spans="1:3" x14ac:dyDescent="0.25">
      <c r="A1455" s="1">
        <v>8459</v>
      </c>
      <c r="B1455" s="1">
        <v>1458</v>
      </c>
      <c r="C1455" s="1">
        <v>2750</v>
      </c>
    </row>
    <row r="1456" spans="1:3" x14ac:dyDescent="0.25">
      <c r="A1456" s="1">
        <v>8342</v>
      </c>
      <c r="B1456" s="1">
        <v>2020</v>
      </c>
      <c r="C1456" s="1">
        <v>2750</v>
      </c>
    </row>
    <row r="1457" spans="1:3" x14ac:dyDescent="0.25">
      <c r="A1457" s="1">
        <v>8084</v>
      </c>
      <c r="B1457" s="1">
        <v>2886</v>
      </c>
      <c r="C1457" s="1">
        <v>2750</v>
      </c>
    </row>
    <row r="1458" spans="1:3" x14ac:dyDescent="0.25">
      <c r="A1458" s="1">
        <v>7873</v>
      </c>
      <c r="B1458" s="1">
        <v>3420</v>
      </c>
      <c r="C1458" s="1">
        <v>2750</v>
      </c>
    </row>
    <row r="1459" spans="1:3" x14ac:dyDescent="0.25">
      <c r="A1459" s="1">
        <v>7626</v>
      </c>
      <c r="B1459" s="1">
        <v>3938</v>
      </c>
      <c r="C1459" s="1">
        <v>2750</v>
      </c>
    </row>
    <row r="1460" spans="1:3" x14ac:dyDescent="0.25">
      <c r="A1460" s="1">
        <v>7177</v>
      </c>
      <c r="B1460" s="1">
        <v>4707</v>
      </c>
      <c r="C1460" s="1">
        <v>2750</v>
      </c>
    </row>
    <row r="1461" spans="1:3" x14ac:dyDescent="0.25">
      <c r="A1461" s="1">
        <v>6658</v>
      </c>
      <c r="B1461" s="1">
        <v>5416</v>
      </c>
      <c r="C1461" s="1">
        <v>2750</v>
      </c>
    </row>
    <row r="1462" spans="1:3" x14ac:dyDescent="0.25">
      <c r="A1462" s="1">
        <v>6069</v>
      </c>
      <c r="B1462" s="1">
        <v>6069</v>
      </c>
      <c r="C1462" s="1">
        <v>2750</v>
      </c>
    </row>
    <row r="1463" spans="1:3" x14ac:dyDescent="0.25">
      <c r="A1463" s="1">
        <v>5416</v>
      </c>
      <c r="B1463" s="1">
        <v>6658</v>
      </c>
      <c r="C1463" s="1">
        <v>2750</v>
      </c>
    </row>
    <row r="1464" spans="1:3" x14ac:dyDescent="0.25">
      <c r="A1464" s="1">
        <v>4707</v>
      </c>
      <c r="B1464" s="1">
        <v>7177</v>
      </c>
      <c r="C1464" s="1">
        <v>2750</v>
      </c>
    </row>
    <row r="1465" spans="1:3" x14ac:dyDescent="0.25">
      <c r="A1465" s="1">
        <v>3949</v>
      </c>
      <c r="B1465" s="1">
        <v>7620</v>
      </c>
      <c r="C1465" s="1">
        <v>2750</v>
      </c>
    </row>
    <row r="1466" spans="1:3" x14ac:dyDescent="0.25">
      <c r="A1466" s="1">
        <v>3149</v>
      </c>
      <c r="B1466" s="1">
        <v>7984</v>
      </c>
      <c r="C1466" s="1">
        <v>2750</v>
      </c>
    </row>
    <row r="1467" spans="1:3" x14ac:dyDescent="0.25">
      <c r="A1467" s="1">
        <v>2304</v>
      </c>
      <c r="B1467" s="1">
        <v>8268</v>
      </c>
      <c r="C1467" s="1">
        <v>2750</v>
      </c>
    </row>
    <row r="1468" spans="1:3" x14ac:dyDescent="0.25">
      <c r="A1468" s="1">
        <v>1743</v>
      </c>
      <c r="B1468" s="1">
        <v>8405</v>
      </c>
      <c r="C1468" s="1">
        <v>2750</v>
      </c>
    </row>
    <row r="1469" spans="1:3" x14ac:dyDescent="0.25">
      <c r="A1469" s="1">
        <v>1307</v>
      </c>
      <c r="B1469" s="1">
        <v>8482</v>
      </c>
      <c r="C1469" s="1">
        <v>2750</v>
      </c>
    </row>
    <row r="1470" spans="1:3" x14ac:dyDescent="0.25">
      <c r="A1470" t="s">
        <v>56</v>
      </c>
      <c r="B1470" s="1">
        <v>8538</v>
      </c>
      <c r="C1470" s="1">
        <v>2750</v>
      </c>
    </row>
    <row r="1471" spans="1:3" x14ac:dyDescent="0.25">
      <c r="A1471" t="s">
        <v>14</v>
      </c>
      <c r="B1471" s="1">
        <v>8579</v>
      </c>
      <c r="C1471" s="1">
        <v>2750</v>
      </c>
    </row>
    <row r="1472" spans="1:3" x14ac:dyDescent="0.25">
      <c r="A1472" s="1">
        <v>-8464</v>
      </c>
      <c r="B1472" s="1">
        <v>8584</v>
      </c>
      <c r="C1472" s="1">
        <v>2750</v>
      </c>
    </row>
    <row r="1473" spans="1:3" x14ac:dyDescent="0.25">
      <c r="A1473" s="1">
        <v>-9600</v>
      </c>
      <c r="B1473" s="1">
        <v>9600</v>
      </c>
      <c r="C1473" s="1">
        <v>2750</v>
      </c>
    </row>
    <row r="1474" spans="1:3" x14ac:dyDescent="0.25">
      <c r="A1474" s="1">
        <v>-9600</v>
      </c>
      <c r="B1474" s="1">
        <v>-9600</v>
      </c>
      <c r="C1474" s="1">
        <v>2750</v>
      </c>
    </row>
    <row r="1475" spans="1:3" x14ac:dyDescent="0.25">
      <c r="A1475" t="s">
        <v>57</v>
      </c>
      <c r="B1475" s="1">
        <v>-9597</v>
      </c>
      <c r="C1475" s="1">
        <v>2750</v>
      </c>
    </row>
    <row r="1476" spans="1:3" x14ac:dyDescent="0.25">
      <c r="A1476" t="s">
        <v>3</v>
      </c>
      <c r="B1476" s="1">
        <v>-9578</v>
      </c>
      <c r="C1476" s="1">
        <v>2750</v>
      </c>
    </row>
    <row r="1477" spans="1:3" x14ac:dyDescent="0.25">
      <c r="A1477" s="1">
        <v>1307</v>
      </c>
      <c r="B1477" s="1">
        <v>-9510</v>
      </c>
      <c r="C1477" s="1">
        <v>2750</v>
      </c>
    </row>
    <row r="1478" spans="1:3" x14ac:dyDescent="0.25">
      <c r="A1478" s="1">
        <v>1953</v>
      </c>
      <c r="B1478" s="1">
        <v>-9399</v>
      </c>
      <c r="C1478" s="1">
        <v>2750</v>
      </c>
    </row>
    <row r="1479" spans="1:3" x14ac:dyDescent="0.25">
      <c r="A1479" s="1">
        <v>2590</v>
      </c>
      <c r="B1479" s="1">
        <v>-9244</v>
      </c>
      <c r="C1479" s="1">
        <v>2750</v>
      </c>
    </row>
    <row r="1480" spans="1:3" x14ac:dyDescent="0.25">
      <c r="A1480" s="1">
        <v>3216</v>
      </c>
      <c r="B1480" s="1">
        <v>-9045</v>
      </c>
      <c r="C1480" s="1">
        <v>2750</v>
      </c>
    </row>
    <row r="1481" spans="1:3" x14ac:dyDescent="0.25">
      <c r="A1481" s="1">
        <v>4122</v>
      </c>
      <c r="B1481" s="1">
        <v>-8670</v>
      </c>
      <c r="C1481" s="1">
        <v>2750</v>
      </c>
    </row>
    <row r="1482" spans="1:3" x14ac:dyDescent="0.25">
      <c r="A1482" s="1">
        <v>4702</v>
      </c>
      <c r="B1482" s="1">
        <v>-8369</v>
      </c>
      <c r="C1482" s="1">
        <v>2750</v>
      </c>
    </row>
    <row r="1483" spans="1:3" x14ac:dyDescent="0.25">
      <c r="A1483" s="1">
        <v>5539</v>
      </c>
      <c r="B1483" s="1">
        <v>-7841</v>
      </c>
      <c r="C1483" s="1">
        <v>2750</v>
      </c>
    </row>
    <row r="1484" spans="1:3" x14ac:dyDescent="0.25">
      <c r="A1484" s="1">
        <v>6058</v>
      </c>
      <c r="B1484" s="1">
        <v>-7447</v>
      </c>
      <c r="C1484" s="1">
        <v>2750</v>
      </c>
    </row>
    <row r="1485" spans="1:3" x14ac:dyDescent="0.25">
      <c r="A1485" s="1">
        <v>6552</v>
      </c>
      <c r="B1485" s="1">
        <v>-7016</v>
      </c>
      <c r="C1485" s="1">
        <v>2750</v>
      </c>
    </row>
    <row r="1486" spans="1:3" x14ac:dyDescent="0.25">
      <c r="A1486" s="1">
        <v>7016</v>
      </c>
      <c r="B1486" s="1">
        <v>-6552</v>
      </c>
      <c r="C1486" s="1">
        <v>2750</v>
      </c>
    </row>
    <row r="1487" spans="1:3" x14ac:dyDescent="0.25">
      <c r="A1487" s="1">
        <v>7447</v>
      </c>
      <c r="B1487" s="1">
        <v>-6058</v>
      </c>
      <c r="C1487" s="1">
        <v>2750</v>
      </c>
    </row>
    <row r="1488" spans="1:3" x14ac:dyDescent="0.25">
      <c r="A1488" s="1">
        <v>7843</v>
      </c>
      <c r="B1488" s="1">
        <v>-5536</v>
      </c>
      <c r="C1488" s="1">
        <v>2750</v>
      </c>
    </row>
    <row r="1489" spans="1:3" x14ac:dyDescent="0.25">
      <c r="A1489" s="1">
        <v>8202</v>
      </c>
      <c r="B1489" s="1">
        <v>-4988</v>
      </c>
      <c r="C1489" s="1">
        <v>2750</v>
      </c>
    </row>
    <row r="1490" spans="1:3" x14ac:dyDescent="0.25">
      <c r="A1490" s="1">
        <v>8523</v>
      </c>
      <c r="B1490" s="1">
        <v>-4417</v>
      </c>
      <c r="C1490" s="1">
        <v>2750</v>
      </c>
    </row>
    <row r="1491" spans="1:3" x14ac:dyDescent="0.25">
      <c r="A1491" s="1">
        <v>8805</v>
      </c>
      <c r="B1491" s="1">
        <v>-3825</v>
      </c>
      <c r="C1491" s="1">
        <v>2750</v>
      </c>
    </row>
    <row r="1492" spans="1:3" x14ac:dyDescent="0.25">
      <c r="A1492" s="1">
        <v>9045</v>
      </c>
      <c r="B1492" s="1">
        <v>-3215</v>
      </c>
      <c r="C1492" s="1">
        <v>2750</v>
      </c>
    </row>
    <row r="1493" spans="1:3" x14ac:dyDescent="0.25">
      <c r="A1493" s="1">
        <v>9243</v>
      </c>
      <c r="B1493" s="1">
        <v>-2593</v>
      </c>
      <c r="C1493" s="1">
        <v>2750</v>
      </c>
    </row>
    <row r="1494" spans="1:3" x14ac:dyDescent="0.25">
      <c r="A1494" s="1">
        <v>9461</v>
      </c>
      <c r="B1494" s="1">
        <v>-1628</v>
      </c>
      <c r="C1494" s="1">
        <v>2750</v>
      </c>
    </row>
    <row r="1495" spans="1:3" x14ac:dyDescent="0.25">
      <c r="A1495" s="1">
        <v>9549</v>
      </c>
      <c r="B1495">
        <f>0.982</f>
        <v>0.98199999999999998</v>
      </c>
      <c r="C1495" s="1">
        <v>2750</v>
      </c>
    </row>
    <row r="1496" spans="1:3" x14ac:dyDescent="0.25">
      <c r="A1496" s="1">
        <v>9594</v>
      </c>
      <c r="B1496">
        <f>0.328</f>
        <v>0.32800000000000001</v>
      </c>
      <c r="C1496" s="1">
        <v>2750</v>
      </c>
    </row>
    <row r="1497" spans="1:3" x14ac:dyDescent="0.25">
      <c r="A1497" s="1">
        <v>9594</v>
      </c>
      <c r="B1497">
        <v>0.32800000000000001</v>
      </c>
      <c r="C1497" s="1">
        <v>2750</v>
      </c>
    </row>
    <row r="1498" spans="1:3" x14ac:dyDescent="0.25">
      <c r="A1498" s="1">
        <v>9549</v>
      </c>
      <c r="B1498">
        <v>0.98199999999999998</v>
      </c>
      <c r="C1498" s="1">
        <v>2750</v>
      </c>
    </row>
    <row r="1499" spans="1:3" x14ac:dyDescent="0.25">
      <c r="A1499" s="1">
        <v>9460</v>
      </c>
      <c r="B1499" s="1">
        <v>1631</v>
      </c>
      <c r="C1499" s="1">
        <v>2750</v>
      </c>
    </row>
    <row r="1500" spans="1:3" x14ac:dyDescent="0.25">
      <c r="A1500" s="1">
        <v>9328</v>
      </c>
      <c r="B1500" s="1">
        <v>2270</v>
      </c>
      <c r="C1500" s="1">
        <v>2750</v>
      </c>
    </row>
    <row r="1501" spans="1:3" x14ac:dyDescent="0.25">
      <c r="A1501" s="1">
        <v>9044</v>
      </c>
      <c r="B1501" s="1">
        <v>3218</v>
      </c>
      <c r="C1501" s="1">
        <v>2750</v>
      </c>
    </row>
    <row r="1502" spans="1:3" x14ac:dyDescent="0.25">
      <c r="A1502" s="1">
        <v>8805</v>
      </c>
      <c r="B1502" s="1">
        <v>3825</v>
      </c>
      <c r="C1502" s="1">
        <v>2750</v>
      </c>
    </row>
    <row r="1503" spans="1:3" x14ac:dyDescent="0.25">
      <c r="A1503" s="1">
        <v>8525</v>
      </c>
      <c r="B1503" s="1">
        <v>4413</v>
      </c>
      <c r="C1503" s="1">
        <v>2750</v>
      </c>
    </row>
    <row r="1504" spans="1:3" x14ac:dyDescent="0.25">
      <c r="A1504" s="1">
        <v>8027</v>
      </c>
      <c r="B1504" s="1">
        <v>5265</v>
      </c>
      <c r="C1504" s="1">
        <v>2750</v>
      </c>
    </row>
    <row r="1505" spans="1:3" x14ac:dyDescent="0.25">
      <c r="A1505" s="1">
        <v>7446</v>
      </c>
      <c r="B1505" s="1">
        <v>6058</v>
      </c>
      <c r="C1505" s="1">
        <v>2750</v>
      </c>
    </row>
    <row r="1506" spans="1:3" x14ac:dyDescent="0.25">
      <c r="A1506" s="1">
        <v>6788</v>
      </c>
      <c r="B1506" s="1">
        <v>6788</v>
      </c>
      <c r="C1506" s="1">
        <v>2750</v>
      </c>
    </row>
    <row r="1507" spans="1:3" x14ac:dyDescent="0.25">
      <c r="A1507" s="1">
        <v>6058</v>
      </c>
      <c r="B1507" s="1">
        <v>7446</v>
      </c>
      <c r="C1507" s="1">
        <v>2750</v>
      </c>
    </row>
    <row r="1508" spans="1:3" x14ac:dyDescent="0.25">
      <c r="A1508" s="1">
        <v>5265</v>
      </c>
      <c r="B1508" s="1">
        <v>8027</v>
      </c>
      <c r="C1508" s="1">
        <v>2750</v>
      </c>
    </row>
    <row r="1509" spans="1:3" x14ac:dyDescent="0.25">
      <c r="A1509" s="1">
        <v>4416</v>
      </c>
      <c r="B1509" s="1">
        <v>8523</v>
      </c>
      <c r="C1509" s="1">
        <v>2750</v>
      </c>
    </row>
    <row r="1510" spans="1:3" x14ac:dyDescent="0.25">
      <c r="A1510" s="1">
        <v>3522</v>
      </c>
      <c r="B1510" s="1">
        <v>8930</v>
      </c>
      <c r="C1510" s="1">
        <v>2750</v>
      </c>
    </row>
    <row r="1511" spans="1:3" x14ac:dyDescent="0.25">
      <c r="A1511" s="1">
        <v>2587</v>
      </c>
      <c r="B1511" s="1">
        <v>9245</v>
      </c>
      <c r="C1511" s="1">
        <v>2750</v>
      </c>
    </row>
    <row r="1512" spans="1:3" x14ac:dyDescent="0.25">
      <c r="A1512" s="1">
        <v>1952</v>
      </c>
      <c r="B1512" s="1">
        <v>9399</v>
      </c>
      <c r="C1512" s="1">
        <v>2750</v>
      </c>
    </row>
    <row r="1513" spans="1:3" x14ac:dyDescent="0.25">
      <c r="A1513" s="1">
        <v>1463</v>
      </c>
      <c r="B1513" s="1">
        <v>9486</v>
      </c>
      <c r="C1513" s="1">
        <v>2750</v>
      </c>
    </row>
    <row r="1514" spans="1:3" x14ac:dyDescent="0.25">
      <c r="A1514" t="s">
        <v>52</v>
      </c>
      <c r="B1514" s="1">
        <v>9549</v>
      </c>
      <c r="C1514" s="1">
        <v>2750</v>
      </c>
    </row>
    <row r="1515" spans="1:3" x14ac:dyDescent="0.25">
      <c r="A1515" t="s">
        <v>17</v>
      </c>
      <c r="B1515" s="1">
        <v>9594</v>
      </c>
      <c r="C1515" s="1">
        <v>2750</v>
      </c>
    </row>
    <row r="1516" spans="1:3" x14ac:dyDescent="0.25">
      <c r="A1516" s="1">
        <v>-9480</v>
      </c>
      <c r="B1516" s="1">
        <v>9600</v>
      </c>
      <c r="C1516" s="1">
        <v>2750</v>
      </c>
    </row>
    <row r="1517" spans="1:3" x14ac:dyDescent="0.25">
      <c r="A1517" s="1">
        <v>-9201</v>
      </c>
      <c r="B1517" s="1">
        <v>8906</v>
      </c>
      <c r="C1517" s="1">
        <v>2750</v>
      </c>
    </row>
    <row r="1518" spans="1:3" x14ac:dyDescent="0.25">
      <c r="A1518" s="1">
        <v>-1765</v>
      </c>
      <c r="B1518" s="1">
        <v>6588</v>
      </c>
      <c r="C1518" s="1">
        <v>2750</v>
      </c>
    </row>
    <row r="1519" spans="1:3" x14ac:dyDescent="0.25">
      <c r="A1519" s="1">
        <v>1712</v>
      </c>
      <c r="B1519" s="1">
        <v>-6391</v>
      </c>
      <c r="C1519" s="1">
        <v>2750</v>
      </c>
    </row>
    <row r="1520" spans="1:3" x14ac:dyDescent="0.25">
      <c r="A1520" s="1">
        <v>3522</v>
      </c>
      <c r="B1520" s="1">
        <v>3522</v>
      </c>
      <c r="C1520" s="1">
        <v>2750</v>
      </c>
    </row>
    <row r="1521" spans="1:3" x14ac:dyDescent="0.25">
      <c r="A1521" s="1">
        <v>3920</v>
      </c>
      <c r="B1521" s="1">
        <v>3081</v>
      </c>
      <c r="C1521" s="1">
        <v>2750</v>
      </c>
    </row>
    <row r="1522" spans="1:3" x14ac:dyDescent="0.25">
      <c r="A1522" s="1">
        <v>4270</v>
      </c>
      <c r="B1522" s="1">
        <v>2602</v>
      </c>
      <c r="C1522" s="1">
        <v>2750</v>
      </c>
    </row>
    <row r="1523" spans="1:3" x14ac:dyDescent="0.25">
      <c r="A1523" s="1">
        <v>4588</v>
      </c>
      <c r="B1523" s="1">
        <v>2059</v>
      </c>
      <c r="C1523" s="1">
        <v>2750</v>
      </c>
    </row>
    <row r="1524" spans="1:3" x14ac:dyDescent="0.25">
      <c r="A1524" s="1">
        <v>4743</v>
      </c>
      <c r="B1524" s="1">
        <v>1733</v>
      </c>
      <c r="C1524" s="1">
        <v>2750</v>
      </c>
    </row>
    <row r="1525" spans="1:3" x14ac:dyDescent="0.25">
      <c r="A1525" s="1">
        <v>4875</v>
      </c>
      <c r="B1525" s="1">
        <v>1398</v>
      </c>
      <c r="C1525" s="1">
        <v>2750</v>
      </c>
    </row>
    <row r="1526" spans="1:3" x14ac:dyDescent="0.25">
      <c r="A1526" s="1">
        <v>5065</v>
      </c>
      <c r="B1526">
        <v>0.76100000000000001</v>
      </c>
      <c r="C1526" s="1">
        <v>2750</v>
      </c>
    </row>
    <row r="1527" spans="1:3" x14ac:dyDescent="0.25">
      <c r="A1527" s="1">
        <v>5139</v>
      </c>
      <c r="B1527">
        <v>0.40799999999999997</v>
      </c>
      <c r="C1527" s="1">
        <v>2750</v>
      </c>
    </row>
    <row r="1528" spans="1:3" x14ac:dyDescent="0.25">
      <c r="A1528" s="1">
        <v>5193</v>
      </c>
      <c r="B1528">
        <v>1.4999999999999999E-2</v>
      </c>
      <c r="C1528" s="1">
        <v>2750</v>
      </c>
    </row>
    <row r="1529" spans="1:3" x14ac:dyDescent="0.25">
      <c r="A1529" s="1">
        <v>5220</v>
      </c>
      <c r="B1529">
        <f>0.38</f>
        <v>0.38</v>
      </c>
      <c r="C1529" s="1">
        <v>2750</v>
      </c>
    </row>
    <row r="1530" spans="1:3" x14ac:dyDescent="0.25">
      <c r="A1530" s="1">
        <v>5220</v>
      </c>
      <c r="B1530">
        <f>0.776</f>
        <v>0.77600000000000002</v>
      </c>
      <c r="C1530" s="1">
        <v>2750</v>
      </c>
    </row>
    <row r="1531" spans="1:3" x14ac:dyDescent="0.25">
      <c r="A1531" s="1">
        <v>5193</v>
      </c>
      <c r="B1531" s="1">
        <v>-1171</v>
      </c>
      <c r="C1531" s="1">
        <v>2750</v>
      </c>
    </row>
    <row r="1532" spans="1:3" x14ac:dyDescent="0.25">
      <c r="A1532" s="1">
        <v>5144</v>
      </c>
      <c r="B1532" s="1">
        <v>-1528</v>
      </c>
      <c r="C1532" s="1">
        <v>2750</v>
      </c>
    </row>
    <row r="1533" spans="1:3" x14ac:dyDescent="0.25">
      <c r="A1533" s="1">
        <v>4997</v>
      </c>
      <c r="B1533" s="1">
        <v>-2177</v>
      </c>
      <c r="C1533" s="1">
        <v>2750</v>
      </c>
    </row>
    <row r="1534" spans="1:3" x14ac:dyDescent="0.25">
      <c r="A1534" s="1">
        <v>4888</v>
      </c>
      <c r="B1534" s="1">
        <v>-2520</v>
      </c>
      <c r="C1534" s="1">
        <v>2750</v>
      </c>
    </row>
    <row r="1535" spans="1:3" x14ac:dyDescent="0.25">
      <c r="A1535" s="1">
        <v>4743</v>
      </c>
      <c r="B1535" s="1">
        <v>-2889</v>
      </c>
      <c r="C1535" s="1">
        <v>2750</v>
      </c>
    </row>
    <row r="1536" spans="1:3" x14ac:dyDescent="0.25">
      <c r="A1536" s="1">
        <v>4573</v>
      </c>
      <c r="B1536" s="1">
        <v>-3246</v>
      </c>
      <c r="C1536" s="1">
        <v>2750</v>
      </c>
    </row>
    <row r="1537" spans="1:3" x14ac:dyDescent="0.25">
      <c r="A1537" s="1">
        <v>4379</v>
      </c>
      <c r="B1537" s="1">
        <v>-3592</v>
      </c>
      <c r="C1537" s="1">
        <v>2750</v>
      </c>
    </row>
    <row r="1538" spans="1:3" x14ac:dyDescent="0.25">
      <c r="A1538" s="1">
        <v>4161</v>
      </c>
      <c r="B1538" s="1">
        <v>-3923</v>
      </c>
      <c r="C1538" s="1">
        <v>2750</v>
      </c>
    </row>
    <row r="1539" spans="1:3" x14ac:dyDescent="0.25">
      <c r="A1539" s="1">
        <v>3922</v>
      </c>
      <c r="B1539" s="1">
        <v>-4239</v>
      </c>
      <c r="C1539" s="1">
        <v>2750</v>
      </c>
    </row>
    <row r="1540" spans="1:3" x14ac:dyDescent="0.25">
      <c r="A1540" s="1">
        <v>3662</v>
      </c>
      <c r="B1540" s="1">
        <v>-4537</v>
      </c>
      <c r="C1540" s="1">
        <v>2750</v>
      </c>
    </row>
    <row r="1541" spans="1:3" x14ac:dyDescent="0.25">
      <c r="A1541" s="1">
        <v>3382</v>
      </c>
      <c r="B1541" s="1">
        <v>-4817</v>
      </c>
      <c r="C1541" s="1">
        <v>2750</v>
      </c>
    </row>
    <row r="1542" spans="1:3" x14ac:dyDescent="0.25">
      <c r="A1542" s="1">
        <v>3083</v>
      </c>
      <c r="B1542" s="1">
        <v>-5077</v>
      </c>
      <c r="C1542" s="1">
        <v>2750</v>
      </c>
    </row>
    <row r="1543" spans="1:3" x14ac:dyDescent="0.25">
      <c r="A1543" s="1">
        <v>2796</v>
      </c>
      <c r="B1543" s="1">
        <v>-5295</v>
      </c>
      <c r="C1543" s="1">
        <v>2750</v>
      </c>
    </row>
    <row r="1544" spans="1:3" x14ac:dyDescent="0.25">
      <c r="A1544" s="1">
        <v>2233</v>
      </c>
      <c r="B1544" s="1">
        <v>-5651</v>
      </c>
      <c r="C1544" s="1">
        <v>2750</v>
      </c>
    </row>
    <row r="1545" spans="1:3" x14ac:dyDescent="0.25">
      <c r="A1545" s="1">
        <v>1902</v>
      </c>
      <c r="B1545" s="1">
        <v>-5822</v>
      </c>
      <c r="C1545" s="1">
        <v>2750</v>
      </c>
    </row>
    <row r="1546" spans="1:3" x14ac:dyDescent="0.25">
      <c r="A1546" s="1">
        <v>1376</v>
      </c>
      <c r="B1546" s="1">
        <v>-6040</v>
      </c>
      <c r="C1546" s="1">
        <v>2750</v>
      </c>
    </row>
    <row r="1547" spans="1:3" x14ac:dyDescent="0.25">
      <c r="A1547" t="s">
        <v>9</v>
      </c>
      <c r="B1547" s="1">
        <v>-6163</v>
      </c>
      <c r="C1547" s="1">
        <v>2750</v>
      </c>
    </row>
    <row r="1548" spans="1:3" x14ac:dyDescent="0.25">
      <c r="A1548" t="s">
        <v>33</v>
      </c>
      <c r="B1548" s="1">
        <v>-6257</v>
      </c>
      <c r="C1548" s="1">
        <v>2750</v>
      </c>
    </row>
    <row r="1549" spans="1:3" x14ac:dyDescent="0.25">
      <c r="A1549" t="s">
        <v>34</v>
      </c>
      <c r="B1549" s="1">
        <v>-6324</v>
      </c>
      <c r="C1549" s="1">
        <v>2750</v>
      </c>
    </row>
    <row r="1550" spans="1:3" x14ac:dyDescent="0.25">
      <c r="A1550" t="e" vm="9">
        <f>_FV(0,"485")</f>
        <v>#VALUE!</v>
      </c>
      <c r="B1550" s="1">
        <v>-6378</v>
      </c>
      <c r="C1550" s="1">
        <v>2750</v>
      </c>
    </row>
    <row r="1551" spans="1:3" x14ac:dyDescent="0.25">
      <c r="A1551" s="1">
        <v>-6380</v>
      </c>
      <c r="B1551" s="1">
        <v>-6380</v>
      </c>
      <c r="C1551" s="1">
        <v>2750</v>
      </c>
    </row>
    <row r="1552" spans="1:3" x14ac:dyDescent="0.25">
      <c r="A1552" s="1">
        <v>4677</v>
      </c>
      <c r="B1552" s="1">
        <v>4677</v>
      </c>
      <c r="C1552" s="1">
        <v>2750</v>
      </c>
    </row>
    <row r="1553" spans="1:3" x14ac:dyDescent="0.25">
      <c r="A1553" s="1">
        <v>4677</v>
      </c>
      <c r="B1553" s="1">
        <v>4677</v>
      </c>
      <c r="C1553" s="1">
        <v>3050</v>
      </c>
    </row>
    <row r="1554" spans="1:3" x14ac:dyDescent="0.25">
      <c r="A1554" s="1">
        <v>-7289</v>
      </c>
      <c r="B1554" s="1">
        <v>7287</v>
      </c>
      <c r="C1554" s="1">
        <v>3050</v>
      </c>
    </row>
    <row r="1555" spans="1:3" x14ac:dyDescent="0.25">
      <c r="A1555" s="1">
        <v>-7289</v>
      </c>
      <c r="B1555" s="1">
        <v>-7288</v>
      </c>
      <c r="C1555" s="1">
        <v>3050</v>
      </c>
    </row>
    <row r="1556" spans="1:3" x14ac:dyDescent="0.25">
      <c r="A1556" t="s">
        <v>58</v>
      </c>
      <c r="B1556" s="1">
        <v>-7286</v>
      </c>
      <c r="C1556" s="1">
        <v>3050</v>
      </c>
    </row>
    <row r="1557" spans="1:3" x14ac:dyDescent="0.25">
      <c r="A1557" t="s">
        <v>59</v>
      </c>
      <c r="B1557" s="1">
        <v>-7271</v>
      </c>
      <c r="C1557" s="1">
        <v>3050</v>
      </c>
    </row>
    <row r="1558" spans="1:3" x14ac:dyDescent="0.25">
      <c r="A1558" t="s">
        <v>11</v>
      </c>
      <c r="B1558" s="1">
        <v>-7219</v>
      </c>
      <c r="C1558" s="1">
        <v>3050</v>
      </c>
    </row>
    <row r="1559" spans="1:3" x14ac:dyDescent="0.25">
      <c r="A1559" s="1">
        <v>1483</v>
      </c>
      <c r="B1559" s="1">
        <v>-7135</v>
      </c>
      <c r="C1559" s="1">
        <v>3050</v>
      </c>
    </row>
    <row r="1560" spans="1:3" x14ac:dyDescent="0.25">
      <c r="A1560" s="1">
        <v>1966</v>
      </c>
      <c r="B1560" s="1">
        <v>-7017</v>
      </c>
      <c r="C1560" s="1">
        <v>3050</v>
      </c>
    </row>
    <row r="1561" spans="1:3" x14ac:dyDescent="0.25">
      <c r="A1561" s="1">
        <v>2446</v>
      </c>
      <c r="B1561" s="1">
        <v>-6865</v>
      </c>
      <c r="C1561" s="1">
        <v>3050</v>
      </c>
    </row>
    <row r="1562" spans="1:3" x14ac:dyDescent="0.25">
      <c r="A1562" s="1">
        <v>3121</v>
      </c>
      <c r="B1562" s="1">
        <v>-6585</v>
      </c>
      <c r="C1562" s="1">
        <v>3050</v>
      </c>
    </row>
    <row r="1563" spans="1:3" x14ac:dyDescent="0.25">
      <c r="A1563" s="1">
        <v>3551</v>
      </c>
      <c r="B1563" s="1">
        <v>-6363</v>
      </c>
      <c r="C1563" s="1">
        <v>3050</v>
      </c>
    </row>
    <row r="1564" spans="1:3" x14ac:dyDescent="0.25">
      <c r="A1564" s="1">
        <v>4221</v>
      </c>
      <c r="B1564" s="1">
        <v>-5939</v>
      </c>
      <c r="C1564" s="1">
        <v>3050</v>
      </c>
    </row>
    <row r="1565" spans="1:3" x14ac:dyDescent="0.25">
      <c r="A1565" s="1">
        <v>4599</v>
      </c>
      <c r="B1565" s="1">
        <v>-5653</v>
      </c>
      <c r="C1565" s="1">
        <v>3050</v>
      </c>
    </row>
    <row r="1566" spans="1:3" x14ac:dyDescent="0.25">
      <c r="A1566" s="1">
        <v>4974</v>
      </c>
      <c r="B1566" s="1">
        <v>-5326</v>
      </c>
      <c r="C1566" s="1">
        <v>3050</v>
      </c>
    </row>
    <row r="1567" spans="1:3" x14ac:dyDescent="0.25">
      <c r="A1567" s="1">
        <v>5326</v>
      </c>
      <c r="B1567" s="1">
        <v>-4974</v>
      </c>
      <c r="C1567" s="1">
        <v>3050</v>
      </c>
    </row>
    <row r="1568" spans="1:3" x14ac:dyDescent="0.25">
      <c r="A1568" s="1">
        <v>5653</v>
      </c>
      <c r="B1568" s="1">
        <v>-4599</v>
      </c>
      <c r="C1568" s="1">
        <v>3050</v>
      </c>
    </row>
    <row r="1569" spans="1:3" x14ac:dyDescent="0.25">
      <c r="A1569" s="1">
        <v>5953</v>
      </c>
      <c r="B1569" s="1">
        <v>-4202</v>
      </c>
      <c r="C1569" s="1">
        <v>3050</v>
      </c>
    </row>
    <row r="1570" spans="1:3" x14ac:dyDescent="0.25">
      <c r="A1570" s="1">
        <v>6226</v>
      </c>
      <c r="B1570" s="1">
        <v>-3786</v>
      </c>
      <c r="C1570" s="1">
        <v>3050</v>
      </c>
    </row>
    <row r="1571" spans="1:3" x14ac:dyDescent="0.25">
      <c r="A1571" s="1">
        <v>6470</v>
      </c>
      <c r="B1571" s="1">
        <v>-3353</v>
      </c>
      <c r="C1571" s="1">
        <v>3050</v>
      </c>
    </row>
    <row r="1572" spans="1:3" x14ac:dyDescent="0.25">
      <c r="A1572" s="1">
        <v>6684</v>
      </c>
      <c r="B1572" s="1">
        <v>-2903</v>
      </c>
      <c r="C1572" s="1">
        <v>3050</v>
      </c>
    </row>
    <row r="1573" spans="1:3" x14ac:dyDescent="0.25">
      <c r="A1573" s="1">
        <v>6869</v>
      </c>
      <c r="B1573" s="1">
        <v>-2435</v>
      </c>
      <c r="C1573" s="1">
        <v>3050</v>
      </c>
    </row>
    <row r="1574" spans="1:3" x14ac:dyDescent="0.25">
      <c r="A1574" s="1">
        <v>7078</v>
      </c>
      <c r="B1574" s="1">
        <v>-1735</v>
      </c>
      <c r="C1574" s="1">
        <v>3050</v>
      </c>
    </row>
    <row r="1575" spans="1:3" x14ac:dyDescent="0.25">
      <c r="A1575" s="1">
        <v>7181</v>
      </c>
      <c r="B1575" s="1">
        <v>-1238</v>
      </c>
      <c r="C1575" s="1">
        <v>3050</v>
      </c>
    </row>
    <row r="1576" spans="1:3" x14ac:dyDescent="0.25">
      <c r="A1576" s="1">
        <v>7249</v>
      </c>
      <c r="B1576">
        <f>0.745</f>
        <v>0.745</v>
      </c>
      <c r="C1576" s="1">
        <v>3050</v>
      </c>
    </row>
    <row r="1577" spans="1:3" x14ac:dyDescent="0.25">
      <c r="A1577" s="1">
        <v>7283</v>
      </c>
      <c r="B1577">
        <f>0.249</f>
        <v>0.249</v>
      </c>
      <c r="C1577" s="1">
        <v>3050</v>
      </c>
    </row>
    <row r="1578" spans="1:3" x14ac:dyDescent="0.25">
      <c r="A1578" s="1">
        <v>7283</v>
      </c>
      <c r="B1578">
        <v>0.249</v>
      </c>
      <c r="C1578" s="1">
        <v>3050</v>
      </c>
    </row>
    <row r="1579" spans="1:3" x14ac:dyDescent="0.25">
      <c r="A1579" s="1">
        <v>7249</v>
      </c>
      <c r="B1579">
        <v>0.745</v>
      </c>
      <c r="C1579" s="1">
        <v>3050</v>
      </c>
    </row>
    <row r="1580" spans="1:3" x14ac:dyDescent="0.25">
      <c r="A1580" s="1">
        <v>7181</v>
      </c>
      <c r="B1580" s="1">
        <v>1238</v>
      </c>
      <c r="C1580" s="1">
        <v>3050</v>
      </c>
    </row>
    <row r="1581" spans="1:3" x14ac:dyDescent="0.25">
      <c r="A1581" s="1">
        <v>7085</v>
      </c>
      <c r="B1581" s="1">
        <v>1703</v>
      </c>
      <c r="C1581" s="1">
        <v>3050</v>
      </c>
    </row>
    <row r="1582" spans="1:3" x14ac:dyDescent="0.25">
      <c r="A1582" s="1">
        <v>6858</v>
      </c>
      <c r="B1582" s="1">
        <v>2462</v>
      </c>
      <c r="C1582" s="1">
        <v>3050</v>
      </c>
    </row>
    <row r="1583" spans="1:3" x14ac:dyDescent="0.25">
      <c r="A1583" s="1">
        <v>6684</v>
      </c>
      <c r="B1583" s="1">
        <v>2903</v>
      </c>
      <c r="C1583" s="1">
        <v>3050</v>
      </c>
    </row>
    <row r="1584" spans="1:3" x14ac:dyDescent="0.25">
      <c r="A1584" s="1">
        <v>6480</v>
      </c>
      <c r="B1584" s="1">
        <v>3332</v>
      </c>
      <c r="C1584" s="1">
        <v>3050</v>
      </c>
    </row>
    <row r="1585" spans="1:3" x14ac:dyDescent="0.25">
      <c r="A1585" s="1">
        <v>6092</v>
      </c>
      <c r="B1585" s="1">
        <v>3996</v>
      </c>
      <c r="C1585" s="1">
        <v>3050</v>
      </c>
    </row>
    <row r="1586" spans="1:3" x14ac:dyDescent="0.25">
      <c r="A1586" s="1">
        <v>5651</v>
      </c>
      <c r="B1586" s="1">
        <v>4598</v>
      </c>
      <c r="C1586" s="1">
        <v>3050</v>
      </c>
    </row>
    <row r="1587" spans="1:3" x14ac:dyDescent="0.25">
      <c r="A1587" s="1">
        <v>5151</v>
      </c>
      <c r="B1587" s="1">
        <v>5151</v>
      </c>
      <c r="C1587" s="1">
        <v>3050</v>
      </c>
    </row>
    <row r="1588" spans="1:3" x14ac:dyDescent="0.25">
      <c r="A1588" s="1">
        <v>4598</v>
      </c>
      <c r="B1588" s="1">
        <v>5651</v>
      </c>
      <c r="C1588" s="1">
        <v>3050</v>
      </c>
    </row>
    <row r="1589" spans="1:3" x14ac:dyDescent="0.25">
      <c r="A1589" s="1">
        <v>3996</v>
      </c>
      <c r="B1589" s="1">
        <v>6092</v>
      </c>
      <c r="C1589" s="1">
        <v>3050</v>
      </c>
    </row>
    <row r="1590" spans="1:3" x14ac:dyDescent="0.25">
      <c r="A1590" s="1">
        <v>3352</v>
      </c>
      <c r="B1590" s="1">
        <v>6468</v>
      </c>
      <c r="C1590" s="1">
        <v>3050</v>
      </c>
    </row>
    <row r="1591" spans="1:3" x14ac:dyDescent="0.25">
      <c r="A1591" s="1">
        <v>2673</v>
      </c>
      <c r="B1591" s="1">
        <v>6777</v>
      </c>
      <c r="C1591" s="1">
        <v>3050</v>
      </c>
    </row>
    <row r="1592" spans="1:3" x14ac:dyDescent="0.25">
      <c r="A1592" s="1">
        <v>1966</v>
      </c>
      <c r="B1592" s="1">
        <v>7015</v>
      </c>
      <c r="C1592" s="1">
        <v>3050</v>
      </c>
    </row>
    <row r="1593" spans="1:3" x14ac:dyDescent="0.25">
      <c r="A1593" s="1">
        <v>1215</v>
      </c>
      <c r="B1593" s="1">
        <v>7184</v>
      </c>
      <c r="C1593" s="1">
        <v>3050</v>
      </c>
    </row>
    <row r="1594" spans="1:3" x14ac:dyDescent="0.25">
      <c r="A1594" t="s">
        <v>12</v>
      </c>
      <c r="B1594" s="1">
        <v>7249</v>
      </c>
      <c r="C1594" s="1">
        <v>3050</v>
      </c>
    </row>
    <row r="1595" spans="1:3" x14ac:dyDescent="0.25">
      <c r="A1595" t="s">
        <v>13</v>
      </c>
      <c r="B1595" s="1">
        <v>7283</v>
      </c>
      <c r="C1595" s="1">
        <v>3050</v>
      </c>
    </row>
    <row r="1596" spans="1:3" x14ac:dyDescent="0.25">
      <c r="A1596" s="1">
        <v>-7169</v>
      </c>
      <c r="B1596" s="1">
        <v>7287</v>
      </c>
      <c r="C1596" s="1">
        <v>3050</v>
      </c>
    </row>
    <row r="1597" spans="1:3" x14ac:dyDescent="0.25">
      <c r="A1597" s="1">
        <v>-8584</v>
      </c>
      <c r="B1597" s="1">
        <v>8584</v>
      </c>
      <c r="C1597" s="1">
        <v>3050</v>
      </c>
    </row>
    <row r="1598" spans="1:3" x14ac:dyDescent="0.25">
      <c r="A1598" s="1">
        <v>-8584</v>
      </c>
      <c r="B1598" s="1">
        <v>-8584</v>
      </c>
      <c r="C1598" s="1">
        <v>3050</v>
      </c>
    </row>
    <row r="1599" spans="1:3" x14ac:dyDescent="0.25">
      <c r="A1599" t="s">
        <v>60</v>
      </c>
      <c r="B1599" s="1">
        <v>-8582</v>
      </c>
      <c r="C1599" s="1">
        <v>3050</v>
      </c>
    </row>
    <row r="1600" spans="1:3" x14ac:dyDescent="0.25">
      <c r="A1600" t="s">
        <v>50</v>
      </c>
      <c r="B1600" s="1">
        <v>-8564</v>
      </c>
      <c r="C1600" s="1">
        <v>3050</v>
      </c>
    </row>
    <row r="1601" spans="1:3" x14ac:dyDescent="0.25">
      <c r="A1601" s="1">
        <v>1169</v>
      </c>
      <c r="B1601" s="1">
        <v>-8504</v>
      </c>
      <c r="C1601" s="1">
        <v>3050</v>
      </c>
    </row>
    <row r="1602" spans="1:3" x14ac:dyDescent="0.25">
      <c r="A1602" s="1">
        <v>1746</v>
      </c>
      <c r="B1602" s="1">
        <v>-8404</v>
      </c>
      <c r="C1602" s="1">
        <v>3050</v>
      </c>
    </row>
    <row r="1603" spans="1:3" x14ac:dyDescent="0.25">
      <c r="A1603" s="1">
        <v>2316</v>
      </c>
      <c r="B1603" s="1">
        <v>-8265</v>
      </c>
      <c r="C1603" s="1">
        <v>3050</v>
      </c>
    </row>
    <row r="1604" spans="1:3" x14ac:dyDescent="0.25">
      <c r="A1604" s="1">
        <v>2878</v>
      </c>
      <c r="B1604" s="1">
        <v>-8087</v>
      </c>
      <c r="C1604" s="1">
        <v>3050</v>
      </c>
    </row>
    <row r="1605" spans="1:3" x14ac:dyDescent="0.25">
      <c r="A1605" s="1">
        <v>3682</v>
      </c>
      <c r="B1605" s="1">
        <v>-7754</v>
      </c>
      <c r="C1605" s="1">
        <v>3050</v>
      </c>
    </row>
    <row r="1606" spans="1:3" x14ac:dyDescent="0.25">
      <c r="A1606" s="1">
        <v>4196</v>
      </c>
      <c r="B1606" s="1">
        <v>-7488</v>
      </c>
      <c r="C1606" s="1">
        <v>3050</v>
      </c>
    </row>
    <row r="1607" spans="1:3" x14ac:dyDescent="0.25">
      <c r="A1607" s="1">
        <v>4960</v>
      </c>
      <c r="B1607" s="1">
        <v>-7005</v>
      </c>
      <c r="C1607" s="1">
        <v>3050</v>
      </c>
    </row>
    <row r="1608" spans="1:3" x14ac:dyDescent="0.25">
      <c r="A1608" s="1">
        <v>5417</v>
      </c>
      <c r="B1608" s="1">
        <v>-6658</v>
      </c>
      <c r="C1608" s="1">
        <v>3050</v>
      </c>
    </row>
    <row r="1609" spans="1:3" x14ac:dyDescent="0.25">
      <c r="A1609" s="1">
        <v>5859</v>
      </c>
      <c r="B1609" s="1">
        <v>-6273</v>
      </c>
      <c r="C1609" s="1">
        <v>3050</v>
      </c>
    </row>
    <row r="1610" spans="1:3" x14ac:dyDescent="0.25">
      <c r="A1610" s="1">
        <v>6273</v>
      </c>
      <c r="B1610" s="1">
        <v>-5859</v>
      </c>
      <c r="C1610" s="1">
        <v>3050</v>
      </c>
    </row>
    <row r="1611" spans="1:3" x14ac:dyDescent="0.25">
      <c r="A1611" s="1">
        <v>6658</v>
      </c>
      <c r="B1611" s="1">
        <v>-5417</v>
      </c>
      <c r="C1611" s="1">
        <v>3050</v>
      </c>
    </row>
    <row r="1612" spans="1:3" x14ac:dyDescent="0.25">
      <c r="A1612" s="1">
        <v>7013</v>
      </c>
      <c r="B1612" s="1">
        <v>-4950</v>
      </c>
      <c r="C1612" s="1">
        <v>3050</v>
      </c>
    </row>
    <row r="1613" spans="1:3" x14ac:dyDescent="0.25">
      <c r="A1613" s="1">
        <v>7334</v>
      </c>
      <c r="B1613" s="1">
        <v>-4460</v>
      </c>
      <c r="C1613" s="1">
        <v>3050</v>
      </c>
    </row>
    <row r="1614" spans="1:3" x14ac:dyDescent="0.25">
      <c r="A1614" s="1">
        <v>7621</v>
      </c>
      <c r="B1614" s="1">
        <v>-3949</v>
      </c>
      <c r="C1614" s="1">
        <v>3050</v>
      </c>
    </row>
    <row r="1615" spans="1:3" x14ac:dyDescent="0.25">
      <c r="A1615" s="1">
        <v>7873</v>
      </c>
      <c r="B1615" s="1">
        <v>-3420</v>
      </c>
      <c r="C1615" s="1">
        <v>3050</v>
      </c>
    </row>
    <row r="1616" spans="1:3" x14ac:dyDescent="0.25">
      <c r="A1616" s="1">
        <v>8089</v>
      </c>
      <c r="B1616" s="1">
        <v>-2871</v>
      </c>
      <c r="C1616" s="1">
        <v>3050</v>
      </c>
    </row>
    <row r="1617" spans="1:3" x14ac:dyDescent="0.25">
      <c r="A1617" s="1">
        <v>8338</v>
      </c>
      <c r="B1617" s="1">
        <v>-2037</v>
      </c>
      <c r="C1617" s="1">
        <v>3050</v>
      </c>
    </row>
    <row r="1618" spans="1:3" x14ac:dyDescent="0.25">
      <c r="A1618" s="1">
        <v>8459</v>
      </c>
      <c r="B1618" s="1">
        <v>-1458</v>
      </c>
      <c r="C1618" s="1">
        <v>3050</v>
      </c>
    </row>
    <row r="1619" spans="1:3" x14ac:dyDescent="0.25">
      <c r="A1619" s="1">
        <v>8539</v>
      </c>
      <c r="B1619">
        <f>0.878</f>
        <v>0.878</v>
      </c>
      <c r="C1619" s="1">
        <v>3050</v>
      </c>
    </row>
    <row r="1620" spans="1:3" x14ac:dyDescent="0.25">
      <c r="A1620" s="1">
        <v>8579</v>
      </c>
      <c r="B1620">
        <f>0.293</f>
        <v>0.29299999999999998</v>
      </c>
      <c r="C1620" s="1">
        <v>3050</v>
      </c>
    </row>
    <row r="1621" spans="1:3" x14ac:dyDescent="0.25">
      <c r="A1621" s="1">
        <v>8579</v>
      </c>
      <c r="B1621">
        <v>0.29299999999999998</v>
      </c>
      <c r="C1621" s="1">
        <v>3050</v>
      </c>
    </row>
    <row r="1622" spans="1:3" x14ac:dyDescent="0.25">
      <c r="A1622" s="1">
        <v>8539</v>
      </c>
      <c r="B1622">
        <v>0.878</v>
      </c>
      <c r="C1622" s="1">
        <v>3050</v>
      </c>
    </row>
    <row r="1623" spans="1:3" x14ac:dyDescent="0.25">
      <c r="A1623" s="1">
        <v>8459</v>
      </c>
      <c r="B1623" s="1">
        <v>1458</v>
      </c>
      <c r="C1623" s="1">
        <v>3050</v>
      </c>
    </row>
    <row r="1624" spans="1:3" x14ac:dyDescent="0.25">
      <c r="A1624" s="1">
        <v>8342</v>
      </c>
      <c r="B1624" s="1">
        <v>2020</v>
      </c>
      <c r="C1624" s="1">
        <v>3050</v>
      </c>
    </row>
    <row r="1625" spans="1:3" x14ac:dyDescent="0.25">
      <c r="A1625" s="1">
        <v>8084</v>
      </c>
      <c r="B1625" s="1">
        <v>2886</v>
      </c>
      <c r="C1625" s="1">
        <v>3050</v>
      </c>
    </row>
    <row r="1626" spans="1:3" x14ac:dyDescent="0.25">
      <c r="A1626" s="1">
        <v>7873</v>
      </c>
      <c r="B1626" s="1">
        <v>3420</v>
      </c>
      <c r="C1626" s="1">
        <v>3050</v>
      </c>
    </row>
    <row r="1627" spans="1:3" x14ac:dyDescent="0.25">
      <c r="A1627" s="1">
        <v>7626</v>
      </c>
      <c r="B1627" s="1">
        <v>3938</v>
      </c>
      <c r="C1627" s="1">
        <v>3050</v>
      </c>
    </row>
    <row r="1628" spans="1:3" x14ac:dyDescent="0.25">
      <c r="A1628" s="1">
        <v>7177</v>
      </c>
      <c r="B1628" s="1">
        <v>4707</v>
      </c>
      <c r="C1628" s="1">
        <v>3050</v>
      </c>
    </row>
    <row r="1629" spans="1:3" x14ac:dyDescent="0.25">
      <c r="A1629" s="1">
        <v>6658</v>
      </c>
      <c r="B1629" s="1">
        <v>5416</v>
      </c>
      <c r="C1629" s="1">
        <v>3050</v>
      </c>
    </row>
    <row r="1630" spans="1:3" x14ac:dyDescent="0.25">
      <c r="A1630" s="1">
        <v>6069</v>
      </c>
      <c r="B1630" s="1">
        <v>6069</v>
      </c>
      <c r="C1630" s="1">
        <v>3050</v>
      </c>
    </row>
    <row r="1631" spans="1:3" x14ac:dyDescent="0.25">
      <c r="A1631" s="1">
        <v>5416</v>
      </c>
      <c r="B1631" s="1">
        <v>6658</v>
      </c>
      <c r="C1631" s="1">
        <v>3050</v>
      </c>
    </row>
    <row r="1632" spans="1:3" x14ac:dyDescent="0.25">
      <c r="A1632" s="1">
        <v>4707</v>
      </c>
      <c r="B1632" s="1">
        <v>7177</v>
      </c>
      <c r="C1632" s="1">
        <v>3050</v>
      </c>
    </row>
    <row r="1633" spans="1:3" x14ac:dyDescent="0.25">
      <c r="A1633" s="1">
        <v>3949</v>
      </c>
      <c r="B1633" s="1">
        <v>7620</v>
      </c>
      <c r="C1633" s="1">
        <v>3050</v>
      </c>
    </row>
    <row r="1634" spans="1:3" x14ac:dyDescent="0.25">
      <c r="A1634" s="1">
        <v>3149</v>
      </c>
      <c r="B1634" s="1">
        <v>7984</v>
      </c>
      <c r="C1634" s="1">
        <v>3050</v>
      </c>
    </row>
    <row r="1635" spans="1:3" x14ac:dyDescent="0.25">
      <c r="A1635" s="1">
        <v>2316</v>
      </c>
      <c r="B1635" s="1">
        <v>8264</v>
      </c>
      <c r="C1635" s="1">
        <v>3050</v>
      </c>
    </row>
    <row r="1636" spans="1:3" x14ac:dyDescent="0.25">
      <c r="A1636" s="1">
        <v>1446</v>
      </c>
      <c r="B1636" s="1">
        <v>8460</v>
      </c>
      <c r="C1636" s="1">
        <v>3050</v>
      </c>
    </row>
    <row r="1637" spans="1:3" x14ac:dyDescent="0.25">
      <c r="A1637" t="s">
        <v>15</v>
      </c>
      <c r="B1637" s="1">
        <v>8539</v>
      </c>
      <c r="C1637" s="1">
        <v>3050</v>
      </c>
    </row>
    <row r="1638" spans="1:3" x14ac:dyDescent="0.25">
      <c r="A1638" t="s">
        <v>14</v>
      </c>
      <c r="B1638" s="1">
        <v>8579</v>
      </c>
      <c r="C1638" s="1">
        <v>3050</v>
      </c>
    </row>
    <row r="1639" spans="1:3" x14ac:dyDescent="0.25">
      <c r="A1639" s="1">
        <v>-8464</v>
      </c>
      <c r="B1639" s="1">
        <v>8584</v>
      </c>
      <c r="C1639" s="1">
        <v>3050</v>
      </c>
    </row>
    <row r="1640" spans="1:3" x14ac:dyDescent="0.25">
      <c r="A1640" s="1">
        <v>-9600</v>
      </c>
      <c r="B1640" s="1">
        <v>9600</v>
      </c>
      <c r="C1640" s="1">
        <v>3050</v>
      </c>
    </row>
    <row r="1641" spans="1:3" x14ac:dyDescent="0.25">
      <c r="A1641" s="1">
        <v>-9600</v>
      </c>
      <c r="B1641" s="1">
        <v>-9600</v>
      </c>
      <c r="C1641" s="1">
        <v>3050</v>
      </c>
    </row>
    <row r="1642" spans="1:3" x14ac:dyDescent="0.25">
      <c r="A1642" t="s">
        <v>61</v>
      </c>
      <c r="B1642" s="1">
        <v>-9597</v>
      </c>
      <c r="C1642" s="1">
        <v>3050</v>
      </c>
    </row>
    <row r="1643" spans="1:3" x14ac:dyDescent="0.25">
      <c r="A1643" t="s">
        <v>3</v>
      </c>
      <c r="B1643" s="1">
        <v>-9577</v>
      </c>
      <c r="C1643" s="1">
        <v>3050</v>
      </c>
    </row>
    <row r="1644" spans="1:3" x14ac:dyDescent="0.25">
      <c r="A1644" s="1">
        <v>1307</v>
      </c>
      <c r="B1644" s="1">
        <v>-9510</v>
      </c>
      <c r="C1644" s="1">
        <v>3050</v>
      </c>
    </row>
    <row r="1645" spans="1:3" x14ac:dyDescent="0.25">
      <c r="A1645" s="1">
        <v>1953</v>
      </c>
      <c r="B1645" s="1">
        <v>-9399</v>
      </c>
      <c r="C1645" s="1">
        <v>3050</v>
      </c>
    </row>
    <row r="1646" spans="1:3" x14ac:dyDescent="0.25">
      <c r="A1646" s="1">
        <v>2590</v>
      </c>
      <c r="B1646" s="1">
        <v>-9244</v>
      </c>
      <c r="C1646" s="1">
        <v>3050</v>
      </c>
    </row>
    <row r="1647" spans="1:3" x14ac:dyDescent="0.25">
      <c r="A1647" s="1">
        <v>3216</v>
      </c>
      <c r="B1647" s="1">
        <v>-9045</v>
      </c>
      <c r="C1647" s="1">
        <v>3050</v>
      </c>
    </row>
    <row r="1648" spans="1:3" x14ac:dyDescent="0.25">
      <c r="A1648" s="1">
        <v>4122</v>
      </c>
      <c r="B1648" s="1">
        <v>-8670</v>
      </c>
      <c r="C1648" s="1">
        <v>3050</v>
      </c>
    </row>
    <row r="1649" spans="1:3" x14ac:dyDescent="0.25">
      <c r="A1649" s="1">
        <v>4702</v>
      </c>
      <c r="B1649" s="1">
        <v>-8369</v>
      </c>
      <c r="C1649" s="1">
        <v>3050</v>
      </c>
    </row>
    <row r="1650" spans="1:3" x14ac:dyDescent="0.25">
      <c r="A1650" s="1">
        <v>5539</v>
      </c>
      <c r="B1650" s="1">
        <v>-7841</v>
      </c>
      <c r="C1650" s="1">
        <v>3050</v>
      </c>
    </row>
    <row r="1651" spans="1:3" x14ac:dyDescent="0.25">
      <c r="A1651" s="1">
        <v>6058</v>
      </c>
      <c r="B1651" s="1">
        <v>-7447</v>
      </c>
      <c r="C1651" s="1">
        <v>3050</v>
      </c>
    </row>
    <row r="1652" spans="1:3" x14ac:dyDescent="0.25">
      <c r="A1652" s="1">
        <v>6552</v>
      </c>
      <c r="B1652" s="1">
        <v>-7016</v>
      </c>
      <c r="C1652" s="1">
        <v>3050</v>
      </c>
    </row>
    <row r="1653" spans="1:3" x14ac:dyDescent="0.25">
      <c r="A1653" s="1">
        <v>7016</v>
      </c>
      <c r="B1653" s="1">
        <v>-6552</v>
      </c>
      <c r="C1653" s="1">
        <v>3050</v>
      </c>
    </row>
    <row r="1654" spans="1:3" x14ac:dyDescent="0.25">
      <c r="A1654" s="1">
        <v>7447</v>
      </c>
      <c r="B1654" s="1">
        <v>-6058</v>
      </c>
      <c r="C1654" s="1">
        <v>3050</v>
      </c>
    </row>
    <row r="1655" spans="1:3" x14ac:dyDescent="0.25">
      <c r="A1655" s="1">
        <v>7843</v>
      </c>
      <c r="B1655" s="1">
        <v>-5536</v>
      </c>
      <c r="C1655" s="1">
        <v>3050</v>
      </c>
    </row>
    <row r="1656" spans="1:3" x14ac:dyDescent="0.25">
      <c r="A1656" s="1">
        <v>8202</v>
      </c>
      <c r="B1656" s="1">
        <v>-4988</v>
      </c>
      <c r="C1656" s="1">
        <v>3050</v>
      </c>
    </row>
    <row r="1657" spans="1:3" x14ac:dyDescent="0.25">
      <c r="A1657" s="1">
        <v>8523</v>
      </c>
      <c r="B1657" s="1">
        <v>-4417</v>
      </c>
      <c r="C1657" s="1">
        <v>3050</v>
      </c>
    </row>
    <row r="1658" spans="1:3" x14ac:dyDescent="0.25">
      <c r="A1658" s="1">
        <v>8805</v>
      </c>
      <c r="B1658" s="1">
        <v>-3825</v>
      </c>
      <c r="C1658" s="1">
        <v>3050</v>
      </c>
    </row>
    <row r="1659" spans="1:3" x14ac:dyDescent="0.25">
      <c r="A1659" s="1">
        <v>9046</v>
      </c>
      <c r="B1659" s="1">
        <v>-3214</v>
      </c>
      <c r="C1659" s="1">
        <v>3050</v>
      </c>
    </row>
    <row r="1660" spans="1:3" x14ac:dyDescent="0.25">
      <c r="A1660" s="1">
        <v>9327</v>
      </c>
      <c r="B1660" s="1">
        <v>-2274</v>
      </c>
      <c r="C1660" s="1">
        <v>3050</v>
      </c>
    </row>
    <row r="1661" spans="1:3" x14ac:dyDescent="0.25">
      <c r="A1661" s="1">
        <v>9460</v>
      </c>
      <c r="B1661" s="1">
        <v>-1631</v>
      </c>
      <c r="C1661" s="1">
        <v>3050</v>
      </c>
    </row>
    <row r="1662" spans="1:3" x14ac:dyDescent="0.25">
      <c r="A1662" s="1">
        <v>9549</v>
      </c>
      <c r="B1662">
        <f>0.982</f>
        <v>0.98199999999999998</v>
      </c>
      <c r="C1662" s="1">
        <v>3050</v>
      </c>
    </row>
    <row r="1663" spans="1:3" x14ac:dyDescent="0.25">
      <c r="A1663" s="1">
        <v>9594</v>
      </c>
      <c r="B1663">
        <f>0.328</f>
        <v>0.32800000000000001</v>
      </c>
      <c r="C1663" s="1">
        <v>3050</v>
      </c>
    </row>
    <row r="1664" spans="1:3" x14ac:dyDescent="0.25">
      <c r="A1664" s="1">
        <v>9594</v>
      </c>
      <c r="B1664">
        <v>0.32800000000000001</v>
      </c>
      <c r="C1664" s="1">
        <v>3050</v>
      </c>
    </row>
    <row r="1665" spans="1:3" x14ac:dyDescent="0.25">
      <c r="A1665" s="1">
        <v>9549</v>
      </c>
      <c r="B1665">
        <v>0.98199999999999998</v>
      </c>
      <c r="C1665" s="1">
        <v>3050</v>
      </c>
    </row>
    <row r="1666" spans="1:3" x14ac:dyDescent="0.25">
      <c r="A1666" s="1">
        <v>9460</v>
      </c>
      <c r="B1666" s="1">
        <v>1631</v>
      </c>
      <c r="C1666" s="1">
        <v>3050</v>
      </c>
    </row>
    <row r="1667" spans="1:3" x14ac:dyDescent="0.25">
      <c r="A1667" s="1">
        <v>9328</v>
      </c>
      <c r="B1667" s="1">
        <v>2270</v>
      </c>
      <c r="C1667" s="1">
        <v>3050</v>
      </c>
    </row>
    <row r="1668" spans="1:3" x14ac:dyDescent="0.25">
      <c r="A1668" s="1">
        <v>9044</v>
      </c>
      <c r="B1668" s="1">
        <v>3218</v>
      </c>
      <c r="C1668" s="1">
        <v>3050</v>
      </c>
    </row>
    <row r="1669" spans="1:3" x14ac:dyDescent="0.25">
      <c r="A1669" s="1">
        <v>8805</v>
      </c>
      <c r="B1669" s="1">
        <v>3825</v>
      </c>
      <c r="C1669" s="1">
        <v>3050</v>
      </c>
    </row>
    <row r="1670" spans="1:3" x14ac:dyDescent="0.25">
      <c r="A1670" s="1">
        <v>8525</v>
      </c>
      <c r="B1670" s="1">
        <v>4413</v>
      </c>
      <c r="C1670" s="1">
        <v>3050</v>
      </c>
    </row>
    <row r="1671" spans="1:3" x14ac:dyDescent="0.25">
      <c r="A1671" s="1">
        <v>8027</v>
      </c>
      <c r="B1671" s="1">
        <v>5265</v>
      </c>
      <c r="C1671" s="1">
        <v>3050</v>
      </c>
    </row>
    <row r="1672" spans="1:3" x14ac:dyDescent="0.25">
      <c r="A1672" s="1">
        <v>7446</v>
      </c>
      <c r="B1672" s="1">
        <v>6058</v>
      </c>
      <c r="C1672" s="1">
        <v>3050</v>
      </c>
    </row>
    <row r="1673" spans="1:3" x14ac:dyDescent="0.25">
      <c r="A1673" s="1">
        <v>6788</v>
      </c>
      <c r="B1673" s="1">
        <v>6788</v>
      </c>
      <c r="C1673" s="1">
        <v>3050</v>
      </c>
    </row>
    <row r="1674" spans="1:3" x14ac:dyDescent="0.25">
      <c r="A1674" s="1">
        <v>6058</v>
      </c>
      <c r="B1674" s="1">
        <v>7446</v>
      </c>
      <c r="C1674" s="1">
        <v>3050</v>
      </c>
    </row>
    <row r="1675" spans="1:3" x14ac:dyDescent="0.25">
      <c r="A1675" s="1">
        <v>5265</v>
      </c>
      <c r="B1675" s="1">
        <v>8027</v>
      </c>
      <c r="C1675" s="1">
        <v>3050</v>
      </c>
    </row>
    <row r="1676" spans="1:3" x14ac:dyDescent="0.25">
      <c r="A1676" s="1">
        <v>4416</v>
      </c>
      <c r="B1676" s="1">
        <v>8523</v>
      </c>
      <c r="C1676" s="1">
        <v>3050</v>
      </c>
    </row>
    <row r="1677" spans="1:3" x14ac:dyDescent="0.25">
      <c r="A1677" s="1">
        <v>3522</v>
      </c>
      <c r="B1677" s="1">
        <v>8930</v>
      </c>
      <c r="C1677" s="1">
        <v>3050</v>
      </c>
    </row>
    <row r="1678" spans="1:3" x14ac:dyDescent="0.25">
      <c r="A1678" s="1">
        <v>2590</v>
      </c>
      <c r="B1678" s="1">
        <v>9244</v>
      </c>
      <c r="C1678" s="1">
        <v>3050</v>
      </c>
    </row>
    <row r="1679" spans="1:3" x14ac:dyDescent="0.25">
      <c r="A1679" s="1">
        <v>1628</v>
      </c>
      <c r="B1679" s="1">
        <v>9461</v>
      </c>
      <c r="C1679" s="1">
        <v>3050</v>
      </c>
    </row>
    <row r="1680" spans="1:3" x14ac:dyDescent="0.25">
      <c r="A1680" t="s">
        <v>18</v>
      </c>
      <c r="B1680" s="1">
        <v>9549</v>
      </c>
      <c r="C1680" s="1">
        <v>3050</v>
      </c>
    </row>
    <row r="1681" spans="1:3" x14ac:dyDescent="0.25">
      <c r="A1681" t="s">
        <v>17</v>
      </c>
      <c r="B1681" s="1">
        <v>9594</v>
      </c>
      <c r="C1681" s="1">
        <v>3050</v>
      </c>
    </row>
    <row r="1682" spans="1:3" x14ac:dyDescent="0.25">
      <c r="A1682" s="1">
        <v>-9480</v>
      </c>
      <c r="B1682" s="1">
        <v>9600</v>
      </c>
      <c r="C1682" s="1">
        <v>3050</v>
      </c>
    </row>
    <row r="1683" spans="1:3" x14ac:dyDescent="0.25">
      <c r="A1683" s="1">
        <v>-9201</v>
      </c>
      <c r="B1683" s="1">
        <v>8906</v>
      </c>
      <c r="C1683" s="1">
        <v>3050</v>
      </c>
    </row>
    <row r="1684" spans="1:3" x14ac:dyDescent="0.25">
      <c r="A1684" s="1">
        <v>-1765</v>
      </c>
      <c r="B1684" s="1">
        <v>6588</v>
      </c>
      <c r="C1684" s="1">
        <v>3050</v>
      </c>
    </row>
    <row r="1685" spans="1:3" x14ac:dyDescent="0.25">
      <c r="A1685" s="1">
        <v>1712</v>
      </c>
      <c r="B1685" s="1">
        <v>-6391</v>
      </c>
      <c r="C1685" s="1">
        <v>3050</v>
      </c>
    </row>
    <row r="1686" spans="1:3" x14ac:dyDescent="0.25">
      <c r="A1686" s="1">
        <v>3522</v>
      </c>
      <c r="B1686" s="1">
        <v>3522</v>
      </c>
      <c r="C1686" s="1">
        <v>3050</v>
      </c>
    </row>
    <row r="1687" spans="1:3" x14ac:dyDescent="0.25">
      <c r="A1687" s="1">
        <v>3920</v>
      </c>
      <c r="B1687" s="1">
        <v>3081</v>
      </c>
      <c r="C1687" s="1">
        <v>3050</v>
      </c>
    </row>
    <row r="1688" spans="1:3" x14ac:dyDescent="0.25">
      <c r="A1688" s="1">
        <v>4270</v>
      </c>
      <c r="B1688" s="1">
        <v>2602</v>
      </c>
      <c r="C1688" s="1">
        <v>3050</v>
      </c>
    </row>
    <row r="1689" spans="1:3" x14ac:dyDescent="0.25">
      <c r="A1689" s="1">
        <v>4588</v>
      </c>
      <c r="B1689" s="1">
        <v>2059</v>
      </c>
      <c r="C1689" s="1">
        <v>3050</v>
      </c>
    </row>
    <row r="1690" spans="1:3" x14ac:dyDescent="0.25">
      <c r="A1690" s="1">
        <v>4743</v>
      </c>
      <c r="B1690" s="1">
        <v>1733</v>
      </c>
      <c r="C1690" s="1">
        <v>3050</v>
      </c>
    </row>
    <row r="1691" spans="1:3" x14ac:dyDescent="0.25">
      <c r="A1691" s="1">
        <v>4875</v>
      </c>
      <c r="B1691" s="1">
        <v>1398</v>
      </c>
      <c r="C1691" s="1">
        <v>3050</v>
      </c>
    </row>
    <row r="1692" spans="1:3" x14ac:dyDescent="0.25">
      <c r="A1692" s="1">
        <v>5065</v>
      </c>
      <c r="B1692">
        <v>0.76100000000000001</v>
      </c>
      <c r="C1692" s="1">
        <v>3050</v>
      </c>
    </row>
    <row r="1693" spans="1:3" x14ac:dyDescent="0.25">
      <c r="A1693" s="1">
        <v>5139</v>
      </c>
      <c r="B1693">
        <v>0.40799999999999997</v>
      </c>
      <c r="C1693" s="1">
        <v>3050</v>
      </c>
    </row>
    <row r="1694" spans="1:3" x14ac:dyDescent="0.25">
      <c r="A1694" s="1">
        <v>5193</v>
      </c>
      <c r="B1694">
        <v>1.4999999999999999E-2</v>
      </c>
      <c r="C1694" s="1">
        <v>3050</v>
      </c>
    </row>
    <row r="1695" spans="1:3" x14ac:dyDescent="0.25">
      <c r="A1695" s="1">
        <v>5220</v>
      </c>
      <c r="B1695">
        <f>0.38</f>
        <v>0.38</v>
      </c>
      <c r="C1695" s="1">
        <v>3050</v>
      </c>
    </row>
    <row r="1696" spans="1:3" x14ac:dyDescent="0.25">
      <c r="A1696" s="1">
        <v>5220</v>
      </c>
      <c r="B1696">
        <f>0.776</f>
        <v>0.77600000000000002</v>
      </c>
      <c r="C1696" s="1">
        <v>3050</v>
      </c>
    </row>
    <row r="1697" spans="1:3" x14ac:dyDescent="0.25">
      <c r="A1697" s="1">
        <v>5193</v>
      </c>
      <c r="B1697" s="1">
        <v>-1171</v>
      </c>
      <c r="C1697" s="1">
        <v>3050</v>
      </c>
    </row>
    <row r="1698" spans="1:3" x14ac:dyDescent="0.25">
      <c r="A1698" s="1">
        <v>5141</v>
      </c>
      <c r="B1698" s="1">
        <v>-1545</v>
      </c>
      <c r="C1698" s="1">
        <v>3050</v>
      </c>
    </row>
    <row r="1699" spans="1:3" x14ac:dyDescent="0.25">
      <c r="A1699" s="1">
        <v>4978</v>
      </c>
      <c r="B1699" s="1">
        <v>-2243</v>
      </c>
      <c r="C1699" s="1">
        <v>3050</v>
      </c>
    </row>
    <row r="1700" spans="1:3" x14ac:dyDescent="0.25">
      <c r="A1700" s="1">
        <v>4892</v>
      </c>
      <c r="B1700" s="1">
        <v>-2511</v>
      </c>
      <c r="C1700" s="1">
        <v>3050</v>
      </c>
    </row>
    <row r="1701" spans="1:3" x14ac:dyDescent="0.25">
      <c r="A1701" s="1">
        <v>4743</v>
      </c>
      <c r="B1701" s="1">
        <v>-2889</v>
      </c>
      <c r="C1701" s="1">
        <v>3050</v>
      </c>
    </row>
    <row r="1702" spans="1:3" x14ac:dyDescent="0.25">
      <c r="A1702" s="1">
        <v>4573</v>
      </c>
      <c r="B1702" s="1">
        <v>-3246</v>
      </c>
      <c r="C1702" s="1">
        <v>3050</v>
      </c>
    </row>
    <row r="1703" spans="1:3" x14ac:dyDescent="0.25">
      <c r="A1703" s="1">
        <v>4379</v>
      </c>
      <c r="B1703" s="1">
        <v>-3592</v>
      </c>
      <c r="C1703" s="1">
        <v>3050</v>
      </c>
    </row>
    <row r="1704" spans="1:3" x14ac:dyDescent="0.25">
      <c r="A1704" s="1">
        <v>4161</v>
      </c>
      <c r="B1704" s="1">
        <v>-3923</v>
      </c>
      <c r="C1704" s="1">
        <v>3050</v>
      </c>
    </row>
    <row r="1705" spans="1:3" x14ac:dyDescent="0.25">
      <c r="A1705" s="1">
        <v>3922</v>
      </c>
      <c r="B1705" s="1">
        <v>-4239</v>
      </c>
      <c r="C1705" s="1">
        <v>3050</v>
      </c>
    </row>
    <row r="1706" spans="1:3" x14ac:dyDescent="0.25">
      <c r="A1706" s="1">
        <v>3662</v>
      </c>
      <c r="B1706" s="1">
        <v>-4537</v>
      </c>
      <c r="C1706" s="1">
        <v>3050</v>
      </c>
    </row>
    <row r="1707" spans="1:3" x14ac:dyDescent="0.25">
      <c r="A1707" s="1">
        <v>3382</v>
      </c>
      <c r="B1707" s="1">
        <v>-4817</v>
      </c>
      <c r="C1707" s="1">
        <v>3050</v>
      </c>
    </row>
    <row r="1708" spans="1:3" x14ac:dyDescent="0.25">
      <c r="A1708" s="1">
        <v>3083</v>
      </c>
      <c r="B1708" s="1">
        <v>-5077</v>
      </c>
      <c r="C1708" s="1">
        <v>3050</v>
      </c>
    </row>
    <row r="1709" spans="1:3" x14ac:dyDescent="0.25">
      <c r="A1709" s="1">
        <v>2796</v>
      </c>
      <c r="B1709" s="1">
        <v>-5295</v>
      </c>
      <c r="C1709" s="1">
        <v>3050</v>
      </c>
    </row>
    <row r="1710" spans="1:3" x14ac:dyDescent="0.25">
      <c r="A1710" s="1">
        <v>2249</v>
      </c>
      <c r="B1710" s="1">
        <v>-5640</v>
      </c>
      <c r="C1710" s="1">
        <v>3050</v>
      </c>
    </row>
    <row r="1711" spans="1:3" x14ac:dyDescent="0.25">
      <c r="A1711" s="1">
        <v>1638</v>
      </c>
      <c r="B1711" s="1">
        <v>-5938</v>
      </c>
      <c r="C1711" s="1">
        <v>3050</v>
      </c>
    </row>
    <row r="1712" spans="1:3" x14ac:dyDescent="0.25">
      <c r="A1712" s="1">
        <v>1374</v>
      </c>
      <c r="B1712" s="1">
        <v>-6041</v>
      </c>
      <c r="C1712" s="1">
        <v>3050</v>
      </c>
    </row>
    <row r="1713" spans="1:3" x14ac:dyDescent="0.25">
      <c r="A1713" t="s">
        <v>9</v>
      </c>
      <c r="B1713" s="1">
        <v>-6163</v>
      </c>
      <c r="C1713" s="1">
        <v>3050</v>
      </c>
    </row>
    <row r="1714" spans="1:3" x14ac:dyDescent="0.25">
      <c r="A1714" t="s">
        <v>33</v>
      </c>
      <c r="B1714" s="1">
        <v>-6257</v>
      </c>
      <c r="C1714" s="1">
        <v>3050</v>
      </c>
    </row>
    <row r="1715" spans="1:3" x14ac:dyDescent="0.25">
      <c r="A1715" t="s">
        <v>34</v>
      </c>
      <c r="B1715" s="1">
        <v>-6324</v>
      </c>
      <c r="C1715" s="1">
        <v>3050</v>
      </c>
    </row>
    <row r="1716" spans="1:3" x14ac:dyDescent="0.25">
      <c r="A1716" t="e" vm="10">
        <f>_FV(0,"511")</f>
        <v>#VALUE!</v>
      </c>
      <c r="B1716" s="1">
        <v>-6378</v>
      </c>
      <c r="C1716" s="1">
        <v>3050</v>
      </c>
    </row>
    <row r="1717" spans="1:3" x14ac:dyDescent="0.25">
      <c r="A1717" s="1">
        <v>-6380</v>
      </c>
      <c r="B1717" s="1">
        <v>-6380</v>
      </c>
      <c r="C1717" s="1">
        <v>3050</v>
      </c>
    </row>
    <row r="1718" spans="1:3" x14ac:dyDescent="0.25">
      <c r="A1718" s="1">
        <v>4677</v>
      </c>
      <c r="B1718" s="1">
        <v>4677</v>
      </c>
      <c r="C1718" s="1">
        <v>3050</v>
      </c>
    </row>
    <row r="1719" spans="1:3" x14ac:dyDescent="0.25">
      <c r="A1719" s="1">
        <v>4677</v>
      </c>
      <c r="B1719" s="1">
        <v>4677</v>
      </c>
      <c r="C1719" s="1">
        <v>3350</v>
      </c>
    </row>
    <row r="1720" spans="1:3" x14ac:dyDescent="0.25">
      <c r="A1720" s="1">
        <v>-7289</v>
      </c>
      <c r="B1720" s="1">
        <v>7287</v>
      </c>
      <c r="C1720" s="1">
        <v>3350</v>
      </c>
    </row>
    <row r="1721" spans="1:3" x14ac:dyDescent="0.25">
      <c r="A1721" s="1">
        <v>-7289</v>
      </c>
      <c r="B1721" s="1">
        <v>-7288</v>
      </c>
      <c r="C1721" s="1">
        <v>3350</v>
      </c>
    </row>
    <row r="1722" spans="1:3" x14ac:dyDescent="0.25">
      <c r="A1722" t="s">
        <v>62</v>
      </c>
      <c r="B1722" s="1">
        <v>-7285</v>
      </c>
      <c r="C1722" s="1">
        <v>3350</v>
      </c>
    </row>
    <row r="1723" spans="1:3" x14ac:dyDescent="0.25">
      <c r="A1723" t="s">
        <v>11</v>
      </c>
      <c r="B1723" s="1">
        <v>-7219</v>
      </c>
      <c r="C1723" s="1">
        <v>3350</v>
      </c>
    </row>
    <row r="1724" spans="1:3" x14ac:dyDescent="0.25">
      <c r="A1724" s="1">
        <v>1483</v>
      </c>
      <c r="B1724" s="1">
        <v>-7135</v>
      </c>
      <c r="C1724" s="1">
        <v>3350</v>
      </c>
    </row>
    <row r="1725" spans="1:3" x14ac:dyDescent="0.25">
      <c r="A1725" s="1">
        <v>1966</v>
      </c>
      <c r="B1725" s="1">
        <v>-7017</v>
      </c>
      <c r="C1725" s="1">
        <v>3350</v>
      </c>
    </row>
    <row r="1726" spans="1:3" x14ac:dyDescent="0.25">
      <c r="A1726" s="1">
        <v>2440</v>
      </c>
      <c r="B1726" s="1">
        <v>-6866</v>
      </c>
      <c r="C1726" s="1">
        <v>3350</v>
      </c>
    </row>
    <row r="1727" spans="1:3" x14ac:dyDescent="0.25">
      <c r="A1727" s="1">
        <v>2882</v>
      </c>
      <c r="B1727" s="1">
        <v>-6692</v>
      </c>
      <c r="C1727" s="1">
        <v>3350</v>
      </c>
    </row>
    <row r="1728" spans="1:3" x14ac:dyDescent="0.25">
      <c r="A1728" s="1">
        <v>3571</v>
      </c>
      <c r="B1728" s="1">
        <v>-6350</v>
      </c>
      <c r="C1728" s="1">
        <v>3350</v>
      </c>
    </row>
    <row r="1729" spans="1:3" x14ac:dyDescent="0.25">
      <c r="A1729" s="1">
        <v>4221</v>
      </c>
      <c r="B1729" s="1">
        <v>-5939</v>
      </c>
      <c r="C1729" s="1">
        <v>3350</v>
      </c>
    </row>
    <row r="1730" spans="1:3" x14ac:dyDescent="0.25">
      <c r="A1730" s="1">
        <v>4599</v>
      </c>
      <c r="B1730" s="1">
        <v>-5653</v>
      </c>
      <c r="C1730" s="1">
        <v>3350</v>
      </c>
    </row>
    <row r="1731" spans="1:3" x14ac:dyDescent="0.25">
      <c r="A1731" s="1">
        <v>4974</v>
      </c>
      <c r="B1731" s="1">
        <v>-5326</v>
      </c>
      <c r="C1731" s="1">
        <v>3350</v>
      </c>
    </row>
    <row r="1732" spans="1:3" x14ac:dyDescent="0.25">
      <c r="A1732" s="1">
        <v>5326</v>
      </c>
      <c r="B1732" s="1">
        <v>-4974</v>
      </c>
      <c r="C1732" s="1">
        <v>3350</v>
      </c>
    </row>
    <row r="1733" spans="1:3" x14ac:dyDescent="0.25">
      <c r="A1733" s="1">
        <v>5653</v>
      </c>
      <c r="B1733" s="1">
        <v>-4599</v>
      </c>
      <c r="C1733" s="1">
        <v>3350</v>
      </c>
    </row>
    <row r="1734" spans="1:3" x14ac:dyDescent="0.25">
      <c r="A1734" s="1">
        <v>5953</v>
      </c>
      <c r="B1734" s="1">
        <v>-4202</v>
      </c>
      <c r="C1734" s="1">
        <v>3350</v>
      </c>
    </row>
    <row r="1735" spans="1:3" x14ac:dyDescent="0.25">
      <c r="A1735" s="1">
        <v>6226</v>
      </c>
      <c r="B1735" s="1">
        <v>-3786</v>
      </c>
      <c r="C1735" s="1">
        <v>3350</v>
      </c>
    </row>
    <row r="1736" spans="1:3" x14ac:dyDescent="0.25">
      <c r="A1736" s="1">
        <v>6470</v>
      </c>
      <c r="B1736" s="1">
        <v>-3353</v>
      </c>
      <c r="C1736" s="1">
        <v>3350</v>
      </c>
    </row>
    <row r="1737" spans="1:3" x14ac:dyDescent="0.25">
      <c r="A1737" s="1">
        <v>6684</v>
      </c>
      <c r="B1737" s="1">
        <v>-2903</v>
      </c>
      <c r="C1737" s="1">
        <v>3350</v>
      </c>
    </row>
    <row r="1738" spans="1:3" x14ac:dyDescent="0.25">
      <c r="A1738" s="1">
        <v>6868</v>
      </c>
      <c r="B1738" s="1">
        <v>-2436</v>
      </c>
      <c r="C1738" s="1">
        <v>3350</v>
      </c>
    </row>
    <row r="1739" spans="1:3" x14ac:dyDescent="0.25">
      <c r="A1739" s="1">
        <v>7078</v>
      </c>
      <c r="B1739" s="1">
        <v>-1736</v>
      </c>
      <c r="C1739" s="1">
        <v>3350</v>
      </c>
    </row>
    <row r="1740" spans="1:3" x14ac:dyDescent="0.25">
      <c r="A1740" s="1">
        <v>7181</v>
      </c>
      <c r="B1740" s="1">
        <v>-1238</v>
      </c>
      <c r="C1740" s="1">
        <v>3350</v>
      </c>
    </row>
    <row r="1741" spans="1:3" x14ac:dyDescent="0.25">
      <c r="A1741" s="1">
        <v>7249</v>
      </c>
      <c r="B1741">
        <f>0.745</f>
        <v>0.745</v>
      </c>
      <c r="C1741" s="1">
        <v>3350</v>
      </c>
    </row>
    <row r="1742" spans="1:3" x14ac:dyDescent="0.25">
      <c r="A1742" s="1">
        <v>7283</v>
      </c>
      <c r="B1742">
        <f>0.249</f>
        <v>0.249</v>
      </c>
      <c r="C1742" s="1">
        <v>3350</v>
      </c>
    </row>
    <row r="1743" spans="1:3" x14ac:dyDescent="0.25">
      <c r="A1743" s="1">
        <v>7283</v>
      </c>
      <c r="B1743">
        <v>0.249</v>
      </c>
      <c r="C1743" s="1">
        <v>3350</v>
      </c>
    </row>
    <row r="1744" spans="1:3" x14ac:dyDescent="0.25">
      <c r="A1744" s="1">
        <v>7249</v>
      </c>
      <c r="B1744">
        <v>0.745</v>
      </c>
      <c r="C1744" s="1">
        <v>3350</v>
      </c>
    </row>
    <row r="1745" spans="1:3" x14ac:dyDescent="0.25">
      <c r="A1745" s="1">
        <v>7181</v>
      </c>
      <c r="B1745" s="1">
        <v>1238</v>
      </c>
      <c r="C1745" s="1">
        <v>3350</v>
      </c>
    </row>
    <row r="1746" spans="1:3" x14ac:dyDescent="0.25">
      <c r="A1746" s="1">
        <v>7085</v>
      </c>
      <c r="B1746" s="1">
        <v>1703</v>
      </c>
      <c r="C1746" s="1">
        <v>3350</v>
      </c>
    </row>
    <row r="1747" spans="1:3" x14ac:dyDescent="0.25">
      <c r="A1747" s="1">
        <v>6858</v>
      </c>
      <c r="B1747" s="1">
        <v>2462</v>
      </c>
      <c r="C1747" s="1">
        <v>3350</v>
      </c>
    </row>
    <row r="1748" spans="1:3" x14ac:dyDescent="0.25">
      <c r="A1748" s="1">
        <v>6684</v>
      </c>
      <c r="B1748" s="1">
        <v>2903</v>
      </c>
      <c r="C1748" s="1">
        <v>3350</v>
      </c>
    </row>
    <row r="1749" spans="1:3" x14ac:dyDescent="0.25">
      <c r="A1749" s="1">
        <v>6480</v>
      </c>
      <c r="B1749" s="1">
        <v>3332</v>
      </c>
      <c r="C1749" s="1">
        <v>3350</v>
      </c>
    </row>
    <row r="1750" spans="1:3" x14ac:dyDescent="0.25">
      <c r="A1750" s="1">
        <v>6092</v>
      </c>
      <c r="B1750" s="1">
        <v>3996</v>
      </c>
      <c r="C1750" s="1">
        <v>3350</v>
      </c>
    </row>
    <row r="1751" spans="1:3" x14ac:dyDescent="0.25">
      <c r="A1751" s="1">
        <v>5651</v>
      </c>
      <c r="B1751" s="1">
        <v>4598</v>
      </c>
      <c r="C1751" s="1">
        <v>3350</v>
      </c>
    </row>
    <row r="1752" spans="1:3" x14ac:dyDescent="0.25">
      <c r="A1752" s="1">
        <v>5151</v>
      </c>
      <c r="B1752" s="1">
        <v>5151</v>
      </c>
      <c r="C1752" s="1">
        <v>3350</v>
      </c>
    </row>
    <row r="1753" spans="1:3" x14ac:dyDescent="0.25">
      <c r="A1753" s="1">
        <v>4598</v>
      </c>
      <c r="B1753" s="1">
        <v>5651</v>
      </c>
      <c r="C1753" s="1">
        <v>3350</v>
      </c>
    </row>
    <row r="1754" spans="1:3" x14ac:dyDescent="0.25">
      <c r="A1754" s="1">
        <v>3996</v>
      </c>
      <c r="B1754" s="1">
        <v>6092</v>
      </c>
      <c r="C1754" s="1">
        <v>3350</v>
      </c>
    </row>
    <row r="1755" spans="1:3" x14ac:dyDescent="0.25">
      <c r="A1755" s="1">
        <v>3352</v>
      </c>
      <c r="B1755" s="1">
        <v>6468</v>
      </c>
      <c r="C1755" s="1">
        <v>3350</v>
      </c>
    </row>
    <row r="1756" spans="1:3" x14ac:dyDescent="0.25">
      <c r="A1756" s="1">
        <v>2673</v>
      </c>
      <c r="B1756" s="1">
        <v>6777</v>
      </c>
      <c r="C1756" s="1">
        <v>3350</v>
      </c>
    </row>
    <row r="1757" spans="1:3" x14ac:dyDescent="0.25">
      <c r="A1757" s="1">
        <v>1966</v>
      </c>
      <c r="B1757" s="1">
        <v>7015</v>
      </c>
      <c r="C1757" s="1">
        <v>3350</v>
      </c>
    </row>
    <row r="1758" spans="1:3" x14ac:dyDescent="0.25">
      <c r="A1758" s="1">
        <v>1215</v>
      </c>
      <c r="B1758" s="1">
        <v>7184</v>
      </c>
      <c r="C1758" s="1">
        <v>3350</v>
      </c>
    </row>
    <row r="1759" spans="1:3" x14ac:dyDescent="0.25">
      <c r="A1759" t="s">
        <v>12</v>
      </c>
      <c r="B1759" s="1">
        <v>7249</v>
      </c>
      <c r="C1759" s="1">
        <v>3350</v>
      </c>
    </row>
    <row r="1760" spans="1:3" x14ac:dyDescent="0.25">
      <c r="A1760" t="s">
        <v>13</v>
      </c>
      <c r="B1760" s="1">
        <v>7283</v>
      </c>
      <c r="C1760" s="1">
        <v>3350</v>
      </c>
    </row>
    <row r="1761" spans="1:3" x14ac:dyDescent="0.25">
      <c r="A1761" s="1">
        <v>-7169</v>
      </c>
      <c r="B1761" s="1">
        <v>7287</v>
      </c>
      <c r="C1761" s="1">
        <v>3350</v>
      </c>
    </row>
    <row r="1762" spans="1:3" x14ac:dyDescent="0.25">
      <c r="A1762" s="1">
        <v>-8584</v>
      </c>
      <c r="B1762" s="1">
        <v>8584</v>
      </c>
      <c r="C1762" s="1">
        <v>3350</v>
      </c>
    </row>
    <row r="1763" spans="1:3" x14ac:dyDescent="0.25">
      <c r="A1763" s="1">
        <v>-8584</v>
      </c>
      <c r="B1763" s="1">
        <v>-8584</v>
      </c>
      <c r="C1763" s="1">
        <v>3350</v>
      </c>
    </row>
    <row r="1764" spans="1:3" x14ac:dyDescent="0.25">
      <c r="A1764" t="s">
        <v>63</v>
      </c>
      <c r="B1764" s="1">
        <v>-8581</v>
      </c>
      <c r="C1764" s="1">
        <v>3350</v>
      </c>
    </row>
    <row r="1765" spans="1:3" x14ac:dyDescent="0.25">
      <c r="A1765" t="s">
        <v>159</v>
      </c>
      <c r="B1765" s="1">
        <v>-8564</v>
      </c>
      <c r="C1765" s="1">
        <v>3350</v>
      </c>
    </row>
    <row r="1766" spans="1:3" x14ac:dyDescent="0.25">
      <c r="A1766" s="1">
        <v>1169</v>
      </c>
      <c r="B1766" s="1">
        <v>-8504</v>
      </c>
      <c r="C1766" s="1">
        <v>3350</v>
      </c>
    </row>
    <row r="1767" spans="1:3" x14ac:dyDescent="0.25">
      <c r="A1767" s="1">
        <v>1746</v>
      </c>
      <c r="B1767" s="1">
        <v>-8404</v>
      </c>
      <c r="C1767" s="1">
        <v>3350</v>
      </c>
    </row>
    <row r="1768" spans="1:3" x14ac:dyDescent="0.25">
      <c r="A1768" s="1">
        <v>2316</v>
      </c>
      <c r="B1768" s="1">
        <v>-8265</v>
      </c>
      <c r="C1768" s="1">
        <v>3350</v>
      </c>
    </row>
    <row r="1769" spans="1:3" x14ac:dyDescent="0.25">
      <c r="A1769" s="1">
        <v>2874</v>
      </c>
      <c r="B1769" s="1">
        <v>-8088</v>
      </c>
      <c r="C1769" s="1">
        <v>3350</v>
      </c>
    </row>
    <row r="1770" spans="1:3" x14ac:dyDescent="0.25">
      <c r="A1770" s="1">
        <v>3408</v>
      </c>
      <c r="B1770" s="1">
        <v>-7877</v>
      </c>
      <c r="C1770" s="1">
        <v>3350</v>
      </c>
    </row>
    <row r="1771" spans="1:3" x14ac:dyDescent="0.25">
      <c r="A1771" s="1">
        <v>4206</v>
      </c>
      <c r="B1771" s="1">
        <v>-7481</v>
      </c>
      <c r="C1771" s="1">
        <v>3350</v>
      </c>
    </row>
    <row r="1772" spans="1:3" x14ac:dyDescent="0.25">
      <c r="A1772" s="1">
        <v>4960</v>
      </c>
      <c r="B1772" s="1">
        <v>-7005</v>
      </c>
      <c r="C1772" s="1">
        <v>3350</v>
      </c>
    </row>
    <row r="1773" spans="1:3" x14ac:dyDescent="0.25">
      <c r="A1773" s="1">
        <v>5417</v>
      </c>
      <c r="B1773" s="1">
        <v>-6658</v>
      </c>
      <c r="C1773" s="1">
        <v>3350</v>
      </c>
    </row>
    <row r="1774" spans="1:3" x14ac:dyDescent="0.25">
      <c r="A1774" s="1">
        <v>5859</v>
      </c>
      <c r="B1774" s="1">
        <v>-6273</v>
      </c>
      <c r="C1774" s="1">
        <v>3350</v>
      </c>
    </row>
    <row r="1775" spans="1:3" x14ac:dyDescent="0.25">
      <c r="A1775" s="1">
        <v>6273</v>
      </c>
      <c r="B1775" s="1">
        <v>-5859</v>
      </c>
      <c r="C1775" s="1">
        <v>3350</v>
      </c>
    </row>
    <row r="1776" spans="1:3" x14ac:dyDescent="0.25">
      <c r="A1776" s="1">
        <v>6658</v>
      </c>
      <c r="B1776" s="1">
        <v>-5417</v>
      </c>
      <c r="C1776" s="1">
        <v>3350</v>
      </c>
    </row>
    <row r="1777" spans="1:3" x14ac:dyDescent="0.25">
      <c r="A1777" s="1">
        <v>7013</v>
      </c>
      <c r="B1777" s="1">
        <v>-4950</v>
      </c>
      <c r="C1777" s="1">
        <v>3350</v>
      </c>
    </row>
    <row r="1778" spans="1:3" x14ac:dyDescent="0.25">
      <c r="A1778" s="1">
        <v>7334</v>
      </c>
      <c r="B1778" s="1">
        <v>-4460</v>
      </c>
      <c r="C1778" s="1">
        <v>3350</v>
      </c>
    </row>
    <row r="1779" spans="1:3" x14ac:dyDescent="0.25">
      <c r="A1779" s="1">
        <v>7621</v>
      </c>
      <c r="B1779" s="1">
        <v>-3949</v>
      </c>
      <c r="C1779" s="1">
        <v>3350</v>
      </c>
    </row>
    <row r="1780" spans="1:3" x14ac:dyDescent="0.25">
      <c r="A1780" s="1">
        <v>7873</v>
      </c>
      <c r="B1780" s="1">
        <v>-3420</v>
      </c>
      <c r="C1780" s="1">
        <v>3350</v>
      </c>
    </row>
    <row r="1781" spans="1:3" x14ac:dyDescent="0.25">
      <c r="A1781" s="1">
        <v>8089</v>
      </c>
      <c r="B1781" s="1">
        <v>-2872</v>
      </c>
      <c r="C1781" s="1">
        <v>3350</v>
      </c>
    </row>
    <row r="1782" spans="1:3" x14ac:dyDescent="0.25">
      <c r="A1782" s="1">
        <v>8338</v>
      </c>
      <c r="B1782" s="1">
        <v>-2038</v>
      </c>
      <c r="C1782" s="1">
        <v>3350</v>
      </c>
    </row>
    <row r="1783" spans="1:3" x14ac:dyDescent="0.25">
      <c r="A1783" s="1">
        <v>8459</v>
      </c>
      <c r="B1783" s="1">
        <v>-1458</v>
      </c>
      <c r="C1783" s="1">
        <v>3350</v>
      </c>
    </row>
    <row r="1784" spans="1:3" x14ac:dyDescent="0.25">
      <c r="A1784" s="1">
        <v>8539</v>
      </c>
      <c r="B1784">
        <f>0.878</f>
        <v>0.878</v>
      </c>
      <c r="C1784" s="1">
        <v>3350</v>
      </c>
    </row>
    <row r="1785" spans="1:3" x14ac:dyDescent="0.25">
      <c r="A1785" s="1">
        <v>8579</v>
      </c>
      <c r="B1785">
        <f>0.293</f>
        <v>0.29299999999999998</v>
      </c>
      <c r="C1785" s="1">
        <v>3350</v>
      </c>
    </row>
    <row r="1786" spans="1:3" x14ac:dyDescent="0.25">
      <c r="A1786" s="1">
        <v>8579</v>
      </c>
      <c r="B1786">
        <v>0.29299999999999998</v>
      </c>
      <c r="C1786" s="1">
        <v>3350</v>
      </c>
    </row>
    <row r="1787" spans="1:3" x14ac:dyDescent="0.25">
      <c r="A1787" s="1">
        <v>8539</v>
      </c>
      <c r="B1787">
        <v>0.878</v>
      </c>
      <c r="C1787" s="1">
        <v>3350</v>
      </c>
    </row>
    <row r="1788" spans="1:3" x14ac:dyDescent="0.25">
      <c r="A1788" s="1">
        <v>8459</v>
      </c>
      <c r="B1788" s="1">
        <v>1458</v>
      </c>
      <c r="C1788" s="1">
        <v>3350</v>
      </c>
    </row>
    <row r="1789" spans="1:3" x14ac:dyDescent="0.25">
      <c r="A1789" s="1">
        <v>8342</v>
      </c>
      <c r="B1789" s="1">
        <v>2020</v>
      </c>
      <c r="C1789" s="1">
        <v>3350</v>
      </c>
    </row>
    <row r="1790" spans="1:3" x14ac:dyDescent="0.25">
      <c r="A1790" s="1">
        <v>8084</v>
      </c>
      <c r="B1790" s="1">
        <v>2886</v>
      </c>
      <c r="C1790" s="1">
        <v>3350</v>
      </c>
    </row>
    <row r="1791" spans="1:3" x14ac:dyDescent="0.25">
      <c r="A1791" s="1">
        <v>7873</v>
      </c>
      <c r="B1791" s="1">
        <v>3420</v>
      </c>
      <c r="C1791" s="1">
        <v>3350</v>
      </c>
    </row>
    <row r="1792" spans="1:3" x14ac:dyDescent="0.25">
      <c r="A1792" s="1">
        <v>7626</v>
      </c>
      <c r="B1792" s="1">
        <v>3938</v>
      </c>
      <c r="C1792" s="1">
        <v>3350</v>
      </c>
    </row>
    <row r="1793" spans="1:3" x14ac:dyDescent="0.25">
      <c r="A1793" s="1">
        <v>7177</v>
      </c>
      <c r="B1793" s="1">
        <v>4707</v>
      </c>
      <c r="C1793" s="1">
        <v>3350</v>
      </c>
    </row>
    <row r="1794" spans="1:3" x14ac:dyDescent="0.25">
      <c r="A1794" s="1">
        <v>6658</v>
      </c>
      <c r="B1794" s="1">
        <v>5416</v>
      </c>
      <c r="C1794" s="1">
        <v>3350</v>
      </c>
    </row>
    <row r="1795" spans="1:3" x14ac:dyDescent="0.25">
      <c r="A1795" s="1">
        <v>6069</v>
      </c>
      <c r="B1795" s="1">
        <v>6069</v>
      </c>
      <c r="C1795" s="1">
        <v>3350</v>
      </c>
    </row>
    <row r="1796" spans="1:3" x14ac:dyDescent="0.25">
      <c r="A1796" s="1">
        <v>5416</v>
      </c>
      <c r="B1796" s="1">
        <v>6658</v>
      </c>
      <c r="C1796" s="1">
        <v>3350</v>
      </c>
    </row>
    <row r="1797" spans="1:3" x14ac:dyDescent="0.25">
      <c r="A1797" s="1">
        <v>4707</v>
      </c>
      <c r="B1797" s="1">
        <v>7177</v>
      </c>
      <c r="C1797" s="1">
        <v>3350</v>
      </c>
    </row>
    <row r="1798" spans="1:3" x14ac:dyDescent="0.25">
      <c r="A1798" s="1">
        <v>3949</v>
      </c>
      <c r="B1798" s="1">
        <v>7620</v>
      </c>
      <c r="C1798" s="1">
        <v>3350</v>
      </c>
    </row>
    <row r="1799" spans="1:3" x14ac:dyDescent="0.25">
      <c r="A1799" s="1">
        <v>3149</v>
      </c>
      <c r="B1799" s="1">
        <v>7984</v>
      </c>
      <c r="C1799" s="1">
        <v>3350</v>
      </c>
    </row>
    <row r="1800" spans="1:3" x14ac:dyDescent="0.25">
      <c r="A1800" s="1">
        <v>2316</v>
      </c>
      <c r="B1800" s="1">
        <v>8264</v>
      </c>
      <c r="C1800" s="1">
        <v>3350</v>
      </c>
    </row>
    <row r="1801" spans="1:3" x14ac:dyDescent="0.25">
      <c r="A1801" s="1">
        <v>1446</v>
      </c>
      <c r="B1801" s="1">
        <v>8460</v>
      </c>
      <c r="C1801" s="1">
        <v>3350</v>
      </c>
    </row>
    <row r="1802" spans="1:3" x14ac:dyDescent="0.25">
      <c r="A1802" t="s">
        <v>15</v>
      </c>
      <c r="B1802" s="1">
        <v>8539</v>
      </c>
      <c r="C1802" s="1">
        <v>3350</v>
      </c>
    </row>
    <row r="1803" spans="1:3" x14ac:dyDescent="0.25">
      <c r="A1803" t="s">
        <v>14</v>
      </c>
      <c r="B1803" s="1">
        <v>8579</v>
      </c>
      <c r="C1803" s="1">
        <v>3350</v>
      </c>
    </row>
    <row r="1804" spans="1:3" x14ac:dyDescent="0.25">
      <c r="A1804" s="1">
        <v>-8464</v>
      </c>
      <c r="B1804" s="1">
        <v>8584</v>
      </c>
      <c r="C1804" s="1">
        <v>3350</v>
      </c>
    </row>
    <row r="1805" spans="1:3" x14ac:dyDescent="0.25">
      <c r="A1805" s="1">
        <v>-9600</v>
      </c>
      <c r="B1805" s="1">
        <v>9600</v>
      </c>
      <c r="C1805" s="1">
        <v>3350</v>
      </c>
    </row>
    <row r="1806" spans="1:3" x14ac:dyDescent="0.25">
      <c r="A1806" s="1">
        <v>-9600</v>
      </c>
      <c r="B1806" s="1">
        <v>-9600</v>
      </c>
      <c r="C1806" s="1">
        <v>3350</v>
      </c>
    </row>
    <row r="1807" spans="1:3" x14ac:dyDescent="0.25">
      <c r="A1807" t="s">
        <v>160</v>
      </c>
      <c r="B1807" s="1">
        <v>-9596</v>
      </c>
      <c r="C1807" s="1">
        <v>3350</v>
      </c>
    </row>
    <row r="1808" spans="1:3" x14ac:dyDescent="0.25">
      <c r="A1808" t="s">
        <v>3</v>
      </c>
      <c r="B1808" s="1">
        <v>-9578</v>
      </c>
      <c r="C1808" s="1">
        <v>3350</v>
      </c>
    </row>
    <row r="1809" spans="1:3" x14ac:dyDescent="0.25">
      <c r="A1809" s="1">
        <v>1307</v>
      </c>
      <c r="B1809" s="1">
        <v>-9510</v>
      </c>
      <c r="C1809" s="1">
        <v>3350</v>
      </c>
    </row>
    <row r="1810" spans="1:3" x14ac:dyDescent="0.25">
      <c r="A1810" s="1">
        <v>1953</v>
      </c>
      <c r="B1810" s="1">
        <v>-9399</v>
      </c>
      <c r="C1810" s="1">
        <v>3350</v>
      </c>
    </row>
    <row r="1811" spans="1:3" x14ac:dyDescent="0.25">
      <c r="A1811" s="1">
        <v>2590</v>
      </c>
      <c r="B1811" s="1">
        <v>-9244</v>
      </c>
      <c r="C1811" s="1">
        <v>3350</v>
      </c>
    </row>
    <row r="1812" spans="1:3" x14ac:dyDescent="0.25">
      <c r="A1812" s="1">
        <v>3215</v>
      </c>
      <c r="B1812" s="1">
        <v>-9045</v>
      </c>
      <c r="C1812" s="1">
        <v>3350</v>
      </c>
    </row>
    <row r="1813" spans="1:3" x14ac:dyDescent="0.25">
      <c r="A1813" s="1">
        <v>3821</v>
      </c>
      <c r="B1813" s="1">
        <v>-8806</v>
      </c>
      <c r="C1813" s="1">
        <v>3350</v>
      </c>
    </row>
    <row r="1814" spans="1:3" x14ac:dyDescent="0.25">
      <c r="A1814" s="1">
        <v>4705</v>
      </c>
      <c r="B1814" s="1">
        <v>-8367</v>
      </c>
      <c r="C1814" s="1">
        <v>3350</v>
      </c>
    </row>
    <row r="1815" spans="1:3" x14ac:dyDescent="0.25">
      <c r="A1815" s="1">
        <v>5539</v>
      </c>
      <c r="B1815" s="1">
        <v>-7841</v>
      </c>
      <c r="C1815" s="1">
        <v>3350</v>
      </c>
    </row>
    <row r="1816" spans="1:3" x14ac:dyDescent="0.25">
      <c r="A1816" s="1">
        <v>6058</v>
      </c>
      <c r="B1816" s="1">
        <v>-7447</v>
      </c>
      <c r="C1816" s="1">
        <v>3350</v>
      </c>
    </row>
    <row r="1817" spans="1:3" x14ac:dyDescent="0.25">
      <c r="A1817" s="1">
        <v>6552</v>
      </c>
      <c r="B1817" s="1">
        <v>-7016</v>
      </c>
      <c r="C1817" s="1">
        <v>3350</v>
      </c>
    </row>
    <row r="1818" spans="1:3" x14ac:dyDescent="0.25">
      <c r="A1818" s="1">
        <v>7016</v>
      </c>
      <c r="B1818" s="1">
        <v>-6552</v>
      </c>
      <c r="C1818" s="1">
        <v>3350</v>
      </c>
    </row>
    <row r="1819" spans="1:3" x14ac:dyDescent="0.25">
      <c r="A1819" s="1">
        <v>7447</v>
      </c>
      <c r="B1819" s="1">
        <v>-6058</v>
      </c>
      <c r="C1819" s="1">
        <v>3350</v>
      </c>
    </row>
    <row r="1820" spans="1:3" x14ac:dyDescent="0.25">
      <c r="A1820" s="1">
        <v>7843</v>
      </c>
      <c r="B1820" s="1">
        <v>-5536</v>
      </c>
      <c r="C1820" s="1">
        <v>3350</v>
      </c>
    </row>
    <row r="1821" spans="1:3" x14ac:dyDescent="0.25">
      <c r="A1821" s="1">
        <v>8202</v>
      </c>
      <c r="B1821" s="1">
        <v>-4988</v>
      </c>
      <c r="C1821" s="1">
        <v>3350</v>
      </c>
    </row>
    <row r="1822" spans="1:3" x14ac:dyDescent="0.25">
      <c r="A1822" s="1">
        <v>8523</v>
      </c>
      <c r="B1822" s="1">
        <v>-4417</v>
      </c>
      <c r="C1822" s="1">
        <v>3350</v>
      </c>
    </row>
    <row r="1823" spans="1:3" x14ac:dyDescent="0.25">
      <c r="A1823" s="1">
        <v>8805</v>
      </c>
      <c r="B1823" s="1">
        <v>-3825</v>
      </c>
      <c r="C1823" s="1">
        <v>3350</v>
      </c>
    </row>
    <row r="1824" spans="1:3" x14ac:dyDescent="0.25">
      <c r="A1824" s="1">
        <v>9046</v>
      </c>
      <c r="B1824" s="1">
        <v>-3214</v>
      </c>
      <c r="C1824" s="1">
        <v>3350</v>
      </c>
    </row>
    <row r="1825" spans="1:3" x14ac:dyDescent="0.25">
      <c r="A1825" s="1">
        <v>9326</v>
      </c>
      <c r="B1825" s="1">
        <v>-2274</v>
      </c>
      <c r="C1825" s="1">
        <v>3350</v>
      </c>
    </row>
    <row r="1826" spans="1:3" x14ac:dyDescent="0.25">
      <c r="A1826" s="1">
        <v>9460</v>
      </c>
      <c r="B1826" s="1">
        <v>-1631</v>
      </c>
      <c r="C1826" s="1">
        <v>3350</v>
      </c>
    </row>
    <row r="1827" spans="1:3" x14ac:dyDescent="0.25">
      <c r="A1827" s="1">
        <v>9549</v>
      </c>
      <c r="B1827">
        <f>0.982</f>
        <v>0.98199999999999998</v>
      </c>
      <c r="C1827" s="1">
        <v>3350</v>
      </c>
    </row>
    <row r="1828" spans="1:3" x14ac:dyDescent="0.25">
      <c r="A1828" s="1">
        <v>9594</v>
      </c>
      <c r="B1828">
        <f>0.328</f>
        <v>0.32800000000000001</v>
      </c>
      <c r="C1828" s="1">
        <v>3350</v>
      </c>
    </row>
    <row r="1829" spans="1:3" x14ac:dyDescent="0.25">
      <c r="A1829" s="1">
        <v>9594</v>
      </c>
      <c r="B1829">
        <v>0.32800000000000001</v>
      </c>
      <c r="C1829" s="1">
        <v>3350</v>
      </c>
    </row>
    <row r="1830" spans="1:3" x14ac:dyDescent="0.25">
      <c r="A1830" s="1">
        <v>9549</v>
      </c>
      <c r="B1830">
        <v>0.98199999999999998</v>
      </c>
      <c r="C1830" s="1">
        <v>3350</v>
      </c>
    </row>
    <row r="1831" spans="1:3" x14ac:dyDescent="0.25">
      <c r="A1831" s="1">
        <v>9460</v>
      </c>
      <c r="B1831" s="1">
        <v>1631</v>
      </c>
      <c r="C1831" s="1">
        <v>3350</v>
      </c>
    </row>
    <row r="1832" spans="1:3" x14ac:dyDescent="0.25">
      <c r="A1832" s="1">
        <v>9328</v>
      </c>
      <c r="B1832" s="1">
        <v>2270</v>
      </c>
      <c r="C1832" s="1">
        <v>3350</v>
      </c>
    </row>
    <row r="1833" spans="1:3" x14ac:dyDescent="0.25">
      <c r="A1833" s="1">
        <v>9044</v>
      </c>
      <c r="B1833" s="1">
        <v>3218</v>
      </c>
      <c r="C1833" s="1">
        <v>3350</v>
      </c>
    </row>
    <row r="1834" spans="1:3" x14ac:dyDescent="0.25">
      <c r="A1834" s="1">
        <v>8805</v>
      </c>
      <c r="B1834" s="1">
        <v>3825</v>
      </c>
      <c r="C1834" s="1">
        <v>3350</v>
      </c>
    </row>
    <row r="1835" spans="1:3" x14ac:dyDescent="0.25">
      <c r="A1835" s="1">
        <v>8525</v>
      </c>
      <c r="B1835" s="1">
        <v>4413</v>
      </c>
      <c r="C1835" s="1">
        <v>3350</v>
      </c>
    </row>
    <row r="1836" spans="1:3" x14ac:dyDescent="0.25">
      <c r="A1836" s="1">
        <v>8027</v>
      </c>
      <c r="B1836" s="1">
        <v>5265</v>
      </c>
      <c r="C1836" s="1">
        <v>3350</v>
      </c>
    </row>
    <row r="1837" spans="1:3" x14ac:dyDescent="0.25">
      <c r="A1837" s="1">
        <v>7446</v>
      </c>
      <c r="B1837" s="1">
        <v>6058</v>
      </c>
      <c r="C1837" s="1">
        <v>3350</v>
      </c>
    </row>
    <row r="1838" spans="1:3" x14ac:dyDescent="0.25">
      <c r="A1838" s="1">
        <v>6788</v>
      </c>
      <c r="B1838" s="1">
        <v>6788</v>
      </c>
      <c r="C1838" s="1">
        <v>3350</v>
      </c>
    </row>
    <row r="1839" spans="1:3" x14ac:dyDescent="0.25">
      <c r="A1839" s="1">
        <v>6058</v>
      </c>
      <c r="B1839" s="1">
        <v>7446</v>
      </c>
      <c r="C1839" s="1">
        <v>3350</v>
      </c>
    </row>
    <row r="1840" spans="1:3" x14ac:dyDescent="0.25">
      <c r="A1840" s="1">
        <v>5265</v>
      </c>
      <c r="B1840" s="1">
        <v>8027</v>
      </c>
      <c r="C1840" s="1">
        <v>3350</v>
      </c>
    </row>
    <row r="1841" spans="1:3" x14ac:dyDescent="0.25">
      <c r="A1841" s="1">
        <v>4416</v>
      </c>
      <c r="B1841" s="1">
        <v>8523</v>
      </c>
      <c r="C1841" s="1">
        <v>3350</v>
      </c>
    </row>
    <row r="1842" spans="1:3" x14ac:dyDescent="0.25">
      <c r="A1842" s="1">
        <v>3522</v>
      </c>
      <c r="B1842" s="1">
        <v>8930</v>
      </c>
      <c r="C1842" s="1">
        <v>3350</v>
      </c>
    </row>
    <row r="1843" spans="1:3" x14ac:dyDescent="0.25">
      <c r="A1843" s="1">
        <v>2590</v>
      </c>
      <c r="B1843" s="1">
        <v>9243</v>
      </c>
      <c r="C1843" s="1">
        <v>3350</v>
      </c>
    </row>
    <row r="1844" spans="1:3" x14ac:dyDescent="0.25">
      <c r="A1844" s="1">
        <v>1628</v>
      </c>
      <c r="B1844" s="1">
        <v>9461</v>
      </c>
      <c r="C1844" s="1">
        <v>3350</v>
      </c>
    </row>
    <row r="1845" spans="1:3" x14ac:dyDescent="0.25">
      <c r="A1845" t="s">
        <v>18</v>
      </c>
      <c r="B1845" s="1">
        <v>9549</v>
      </c>
      <c r="C1845" s="1">
        <v>3350</v>
      </c>
    </row>
    <row r="1846" spans="1:3" x14ac:dyDescent="0.25">
      <c r="A1846" t="s">
        <v>17</v>
      </c>
      <c r="B1846" s="1">
        <v>9594</v>
      </c>
      <c r="C1846" s="1">
        <v>3350</v>
      </c>
    </row>
    <row r="1847" spans="1:3" x14ac:dyDescent="0.25">
      <c r="A1847" s="1">
        <v>-9480</v>
      </c>
      <c r="B1847" s="1">
        <v>9600</v>
      </c>
      <c r="C1847" s="1">
        <v>3350</v>
      </c>
    </row>
    <row r="1848" spans="1:3" x14ac:dyDescent="0.25">
      <c r="A1848" s="1">
        <v>-9201</v>
      </c>
      <c r="B1848" s="1">
        <v>8906</v>
      </c>
      <c r="C1848" s="1">
        <v>3350</v>
      </c>
    </row>
    <row r="1849" spans="1:3" x14ac:dyDescent="0.25">
      <c r="A1849" s="1">
        <v>-1765</v>
      </c>
      <c r="B1849" s="1">
        <v>6588</v>
      </c>
      <c r="C1849" s="1">
        <v>3350</v>
      </c>
    </row>
    <row r="1850" spans="1:3" x14ac:dyDescent="0.25">
      <c r="A1850" s="1">
        <v>1712</v>
      </c>
      <c r="B1850" s="1">
        <v>-6391</v>
      </c>
      <c r="C1850" s="1">
        <v>3350</v>
      </c>
    </row>
    <row r="1851" spans="1:3" x14ac:dyDescent="0.25">
      <c r="A1851" s="1">
        <v>3522</v>
      </c>
      <c r="B1851" s="1">
        <v>3522</v>
      </c>
      <c r="C1851" s="1">
        <v>3350</v>
      </c>
    </row>
    <row r="1852" spans="1:3" x14ac:dyDescent="0.25">
      <c r="A1852" s="1">
        <v>3920</v>
      </c>
      <c r="B1852" s="1">
        <v>3081</v>
      </c>
      <c r="C1852" s="1">
        <v>3350</v>
      </c>
    </row>
    <row r="1853" spans="1:3" x14ac:dyDescent="0.25">
      <c r="A1853" s="1">
        <v>4270</v>
      </c>
      <c r="B1853" s="1">
        <v>2602</v>
      </c>
      <c r="C1853" s="1">
        <v>3350</v>
      </c>
    </row>
    <row r="1854" spans="1:3" x14ac:dyDescent="0.25">
      <c r="A1854" s="1">
        <v>4588</v>
      </c>
      <c r="B1854" s="1">
        <v>2059</v>
      </c>
      <c r="C1854" s="1">
        <v>3350</v>
      </c>
    </row>
    <row r="1855" spans="1:3" x14ac:dyDescent="0.25">
      <c r="A1855" s="1">
        <v>4743</v>
      </c>
      <c r="B1855" s="1">
        <v>1733</v>
      </c>
      <c r="C1855" s="1">
        <v>3350</v>
      </c>
    </row>
    <row r="1856" spans="1:3" x14ac:dyDescent="0.25">
      <c r="A1856" s="1">
        <v>4875</v>
      </c>
      <c r="B1856" s="1">
        <v>1398</v>
      </c>
      <c r="C1856" s="1">
        <v>3350</v>
      </c>
    </row>
    <row r="1857" spans="1:3" x14ac:dyDescent="0.25">
      <c r="A1857" s="1">
        <v>5065</v>
      </c>
      <c r="B1857">
        <v>0.76100000000000001</v>
      </c>
      <c r="C1857" s="1">
        <v>3350</v>
      </c>
    </row>
    <row r="1858" spans="1:3" x14ac:dyDescent="0.25">
      <c r="A1858" s="1">
        <v>5139</v>
      </c>
      <c r="B1858">
        <v>0.40799999999999997</v>
      </c>
      <c r="C1858" s="1">
        <v>3350</v>
      </c>
    </row>
    <row r="1859" spans="1:3" x14ac:dyDescent="0.25">
      <c r="A1859" s="1">
        <v>5193</v>
      </c>
      <c r="B1859">
        <v>1.4999999999999999E-2</v>
      </c>
      <c r="C1859" s="1">
        <v>3350</v>
      </c>
    </row>
    <row r="1860" spans="1:3" x14ac:dyDescent="0.25">
      <c r="A1860" s="1">
        <v>5220</v>
      </c>
      <c r="B1860">
        <f>0.38</f>
        <v>0.38</v>
      </c>
      <c r="C1860" s="1">
        <v>3350</v>
      </c>
    </row>
    <row r="1861" spans="1:3" x14ac:dyDescent="0.25">
      <c r="A1861" s="1">
        <v>5220</v>
      </c>
      <c r="B1861">
        <f>0.776</f>
        <v>0.77600000000000002</v>
      </c>
      <c r="C1861" s="1">
        <v>3350</v>
      </c>
    </row>
    <row r="1862" spans="1:3" x14ac:dyDescent="0.25">
      <c r="A1862" s="1">
        <v>5193</v>
      </c>
      <c r="B1862" s="1">
        <v>-1171</v>
      </c>
      <c r="C1862" s="1">
        <v>3350</v>
      </c>
    </row>
    <row r="1863" spans="1:3" x14ac:dyDescent="0.25">
      <c r="A1863" s="1">
        <v>5141</v>
      </c>
      <c r="B1863" s="1">
        <v>-1546</v>
      </c>
      <c r="C1863" s="1">
        <v>3350</v>
      </c>
    </row>
    <row r="1864" spans="1:3" x14ac:dyDescent="0.25">
      <c r="A1864" s="1">
        <v>4983</v>
      </c>
      <c r="B1864" s="1">
        <v>-2227</v>
      </c>
      <c r="C1864" s="1">
        <v>3350</v>
      </c>
    </row>
    <row r="1865" spans="1:3" x14ac:dyDescent="0.25">
      <c r="A1865" s="1">
        <v>4891</v>
      </c>
      <c r="B1865" s="1">
        <v>-2513</v>
      </c>
      <c r="C1865" s="1">
        <v>3350</v>
      </c>
    </row>
    <row r="1866" spans="1:3" x14ac:dyDescent="0.25">
      <c r="A1866" s="1">
        <v>4743</v>
      </c>
      <c r="B1866" s="1">
        <v>-2889</v>
      </c>
      <c r="C1866" s="1">
        <v>3350</v>
      </c>
    </row>
    <row r="1867" spans="1:3" x14ac:dyDescent="0.25">
      <c r="A1867" s="1">
        <v>4573</v>
      </c>
      <c r="B1867" s="1">
        <v>-3246</v>
      </c>
      <c r="C1867" s="1">
        <v>3350</v>
      </c>
    </row>
    <row r="1868" spans="1:3" x14ac:dyDescent="0.25">
      <c r="A1868" s="1">
        <v>4379</v>
      </c>
      <c r="B1868" s="1">
        <v>-3592</v>
      </c>
      <c r="C1868" s="1">
        <v>3350</v>
      </c>
    </row>
    <row r="1869" spans="1:3" x14ac:dyDescent="0.25">
      <c r="A1869" s="1">
        <v>4161</v>
      </c>
      <c r="B1869" s="1">
        <v>-3923</v>
      </c>
      <c r="C1869" s="1">
        <v>3350</v>
      </c>
    </row>
    <row r="1870" spans="1:3" x14ac:dyDescent="0.25">
      <c r="A1870" s="1">
        <v>3922</v>
      </c>
      <c r="B1870" s="1">
        <v>-4239</v>
      </c>
      <c r="C1870" s="1">
        <v>3350</v>
      </c>
    </row>
    <row r="1871" spans="1:3" x14ac:dyDescent="0.25">
      <c r="A1871" s="1">
        <v>3662</v>
      </c>
      <c r="B1871" s="1">
        <v>-4537</v>
      </c>
      <c r="C1871" s="1">
        <v>3350</v>
      </c>
    </row>
    <row r="1872" spans="1:3" x14ac:dyDescent="0.25">
      <c r="A1872" s="1">
        <v>3382</v>
      </c>
      <c r="B1872" s="1">
        <v>-4817</v>
      </c>
      <c r="C1872" s="1">
        <v>3350</v>
      </c>
    </row>
    <row r="1873" spans="1:3" x14ac:dyDescent="0.25">
      <c r="A1873" s="1">
        <v>3083</v>
      </c>
      <c r="B1873" s="1">
        <v>-5077</v>
      </c>
      <c r="C1873" s="1">
        <v>3350</v>
      </c>
    </row>
    <row r="1874" spans="1:3" x14ac:dyDescent="0.25">
      <c r="A1874" s="1">
        <v>2796</v>
      </c>
      <c r="B1874" s="1">
        <v>-5295</v>
      </c>
      <c r="C1874" s="1">
        <v>3350</v>
      </c>
    </row>
    <row r="1875" spans="1:3" x14ac:dyDescent="0.25">
      <c r="A1875" s="1">
        <v>2264</v>
      </c>
      <c r="B1875" s="1">
        <v>-5631</v>
      </c>
      <c r="C1875" s="1">
        <v>3350</v>
      </c>
    </row>
    <row r="1876" spans="1:3" x14ac:dyDescent="0.25">
      <c r="A1876" s="1">
        <v>1700</v>
      </c>
      <c r="B1876" s="1">
        <v>-5911</v>
      </c>
      <c r="C1876" s="1">
        <v>3350</v>
      </c>
    </row>
    <row r="1877" spans="1:3" x14ac:dyDescent="0.25">
      <c r="A1877" s="1">
        <v>1365</v>
      </c>
      <c r="B1877" s="1">
        <v>-6044</v>
      </c>
      <c r="C1877" s="1">
        <v>3350</v>
      </c>
    </row>
    <row r="1878" spans="1:3" x14ac:dyDescent="0.25">
      <c r="A1878" t="s">
        <v>9</v>
      </c>
      <c r="B1878" s="1">
        <v>-6163</v>
      </c>
      <c r="C1878" s="1">
        <v>3350</v>
      </c>
    </row>
    <row r="1879" spans="1:3" x14ac:dyDescent="0.25">
      <c r="A1879" t="s">
        <v>33</v>
      </c>
      <c r="B1879" s="1">
        <v>-6257</v>
      </c>
      <c r="C1879" s="1">
        <v>3350</v>
      </c>
    </row>
    <row r="1880" spans="1:3" x14ac:dyDescent="0.25">
      <c r="A1880" t="s">
        <v>64</v>
      </c>
      <c r="B1880" s="1">
        <v>-6322</v>
      </c>
      <c r="C1880" s="1">
        <v>3350</v>
      </c>
    </row>
    <row r="1881" spans="1:3" x14ac:dyDescent="0.25">
      <c r="A1881" t="e" vm="11">
        <f>_FV(0,"476")</f>
        <v>#VALUE!</v>
      </c>
      <c r="B1881" s="1">
        <v>-6377</v>
      </c>
      <c r="C1881" s="1">
        <v>3350</v>
      </c>
    </row>
    <row r="1882" spans="1:3" x14ac:dyDescent="0.25">
      <c r="A1882" s="1">
        <v>-6379</v>
      </c>
      <c r="B1882" s="1">
        <v>-6379</v>
      </c>
      <c r="C1882" s="1">
        <v>3350</v>
      </c>
    </row>
    <row r="1883" spans="1:3" x14ac:dyDescent="0.25">
      <c r="A1883" s="1">
        <v>4677</v>
      </c>
      <c r="B1883" s="1">
        <v>4677</v>
      </c>
      <c r="C1883" s="1">
        <v>3350</v>
      </c>
    </row>
    <row r="1884" spans="1:3" x14ac:dyDescent="0.25">
      <c r="A1884" s="1">
        <v>4677</v>
      </c>
      <c r="B1884" s="1">
        <v>4677</v>
      </c>
      <c r="C1884" s="1">
        <v>3650</v>
      </c>
    </row>
    <row r="1885" spans="1:3" x14ac:dyDescent="0.25">
      <c r="A1885" s="1">
        <v>-7289</v>
      </c>
      <c r="B1885" s="1">
        <v>7287</v>
      </c>
      <c r="C1885" s="1">
        <v>3650</v>
      </c>
    </row>
    <row r="1886" spans="1:3" x14ac:dyDescent="0.25">
      <c r="A1886" s="1">
        <v>-7289</v>
      </c>
      <c r="B1886" s="1">
        <v>-7288</v>
      </c>
      <c r="C1886" s="1">
        <v>3650</v>
      </c>
    </row>
    <row r="1887" spans="1:3" x14ac:dyDescent="0.25">
      <c r="A1887" t="s">
        <v>161</v>
      </c>
      <c r="B1887" s="1">
        <v>-7285</v>
      </c>
      <c r="C1887" s="1">
        <v>3650</v>
      </c>
    </row>
    <row r="1888" spans="1:3" x14ac:dyDescent="0.25">
      <c r="A1888" t="s">
        <v>11</v>
      </c>
      <c r="B1888" s="1">
        <v>-7219</v>
      </c>
      <c r="C1888" s="1">
        <v>3650</v>
      </c>
    </row>
    <row r="1889" spans="1:3" x14ac:dyDescent="0.25">
      <c r="A1889" s="1">
        <v>1483</v>
      </c>
      <c r="B1889" s="1">
        <v>-7135</v>
      </c>
      <c r="C1889" s="1">
        <v>3650</v>
      </c>
    </row>
    <row r="1890" spans="1:3" x14ac:dyDescent="0.25">
      <c r="A1890" s="1">
        <v>1966</v>
      </c>
      <c r="B1890" s="1">
        <v>-7017</v>
      </c>
      <c r="C1890" s="1">
        <v>3650</v>
      </c>
    </row>
    <row r="1891" spans="1:3" x14ac:dyDescent="0.25">
      <c r="A1891" s="1">
        <v>2440</v>
      </c>
      <c r="B1891" s="1">
        <v>-6866</v>
      </c>
      <c r="C1891" s="1">
        <v>3650</v>
      </c>
    </row>
    <row r="1892" spans="1:3" x14ac:dyDescent="0.25">
      <c r="A1892" s="1">
        <v>2882</v>
      </c>
      <c r="B1892" s="1">
        <v>-6692</v>
      </c>
      <c r="C1892" s="1">
        <v>3650</v>
      </c>
    </row>
    <row r="1893" spans="1:3" x14ac:dyDescent="0.25">
      <c r="A1893" s="1">
        <v>3571</v>
      </c>
      <c r="B1893" s="1">
        <v>-6350</v>
      </c>
      <c r="C1893" s="1">
        <v>3650</v>
      </c>
    </row>
    <row r="1894" spans="1:3" x14ac:dyDescent="0.25">
      <c r="A1894" s="1">
        <v>4221</v>
      </c>
      <c r="B1894" s="1">
        <v>-5939</v>
      </c>
      <c r="C1894" s="1">
        <v>3650</v>
      </c>
    </row>
    <row r="1895" spans="1:3" x14ac:dyDescent="0.25">
      <c r="A1895" s="1">
        <v>4599</v>
      </c>
      <c r="B1895" s="1">
        <v>-5653</v>
      </c>
      <c r="C1895" s="1">
        <v>3650</v>
      </c>
    </row>
    <row r="1896" spans="1:3" x14ac:dyDescent="0.25">
      <c r="A1896" s="1">
        <v>4974</v>
      </c>
      <c r="B1896" s="1">
        <v>-5326</v>
      </c>
      <c r="C1896" s="1">
        <v>3650</v>
      </c>
    </row>
    <row r="1897" spans="1:3" x14ac:dyDescent="0.25">
      <c r="A1897" s="1">
        <v>5326</v>
      </c>
      <c r="B1897" s="1">
        <v>-4974</v>
      </c>
      <c r="C1897" s="1">
        <v>3650</v>
      </c>
    </row>
    <row r="1898" spans="1:3" x14ac:dyDescent="0.25">
      <c r="A1898" s="1">
        <v>5653</v>
      </c>
      <c r="B1898" s="1">
        <v>-4599</v>
      </c>
      <c r="C1898" s="1">
        <v>3650</v>
      </c>
    </row>
    <row r="1899" spans="1:3" x14ac:dyDescent="0.25">
      <c r="A1899" s="1">
        <v>5953</v>
      </c>
      <c r="B1899" s="1">
        <v>-4202</v>
      </c>
      <c r="C1899" s="1">
        <v>3650</v>
      </c>
    </row>
    <row r="1900" spans="1:3" x14ac:dyDescent="0.25">
      <c r="A1900" s="1">
        <v>6226</v>
      </c>
      <c r="B1900" s="1">
        <v>-3786</v>
      </c>
      <c r="C1900" s="1">
        <v>3650</v>
      </c>
    </row>
    <row r="1901" spans="1:3" x14ac:dyDescent="0.25">
      <c r="A1901" s="1">
        <v>6470</v>
      </c>
      <c r="B1901" s="1">
        <v>-3353</v>
      </c>
      <c r="C1901" s="1">
        <v>3650</v>
      </c>
    </row>
    <row r="1902" spans="1:3" x14ac:dyDescent="0.25">
      <c r="A1902" s="1">
        <v>6684</v>
      </c>
      <c r="B1902" s="1">
        <v>-2903</v>
      </c>
      <c r="C1902" s="1">
        <v>3650</v>
      </c>
    </row>
    <row r="1903" spans="1:3" x14ac:dyDescent="0.25">
      <c r="A1903" s="1">
        <v>6866</v>
      </c>
      <c r="B1903" s="1">
        <v>-2440</v>
      </c>
      <c r="C1903" s="1">
        <v>3650</v>
      </c>
    </row>
    <row r="1904" spans="1:3" x14ac:dyDescent="0.25">
      <c r="A1904" s="1">
        <v>7010</v>
      </c>
      <c r="B1904" s="1">
        <v>-1988</v>
      </c>
      <c r="C1904" s="1">
        <v>3650</v>
      </c>
    </row>
    <row r="1905" spans="1:3" x14ac:dyDescent="0.25">
      <c r="A1905" s="1">
        <v>7184</v>
      </c>
      <c r="B1905" s="1">
        <v>-1215</v>
      </c>
      <c r="C1905" s="1">
        <v>3650</v>
      </c>
    </row>
    <row r="1906" spans="1:3" x14ac:dyDescent="0.25">
      <c r="A1906" s="1">
        <v>7249</v>
      </c>
      <c r="B1906">
        <f>0.745</f>
        <v>0.745</v>
      </c>
      <c r="C1906" s="1">
        <v>3650</v>
      </c>
    </row>
    <row r="1907" spans="1:3" x14ac:dyDescent="0.25">
      <c r="A1907" s="1">
        <v>7283</v>
      </c>
      <c r="B1907">
        <f>0.249</f>
        <v>0.249</v>
      </c>
      <c r="C1907" s="1">
        <v>3650</v>
      </c>
    </row>
    <row r="1908" spans="1:3" x14ac:dyDescent="0.25">
      <c r="A1908" s="1">
        <v>7283</v>
      </c>
      <c r="B1908">
        <v>0.249</v>
      </c>
      <c r="C1908" s="1">
        <v>3650</v>
      </c>
    </row>
    <row r="1909" spans="1:3" x14ac:dyDescent="0.25">
      <c r="A1909" s="1">
        <v>7249</v>
      </c>
      <c r="B1909">
        <v>0.745</v>
      </c>
      <c r="C1909" s="1">
        <v>3650</v>
      </c>
    </row>
    <row r="1910" spans="1:3" x14ac:dyDescent="0.25">
      <c r="A1910" s="1">
        <v>7181</v>
      </c>
      <c r="B1910" s="1">
        <v>1238</v>
      </c>
      <c r="C1910" s="1">
        <v>3650</v>
      </c>
    </row>
    <row r="1911" spans="1:3" x14ac:dyDescent="0.25">
      <c r="A1911" s="1">
        <v>7085</v>
      </c>
      <c r="B1911" s="1">
        <v>1703</v>
      </c>
      <c r="C1911" s="1">
        <v>3650</v>
      </c>
    </row>
    <row r="1912" spans="1:3" x14ac:dyDescent="0.25">
      <c r="A1912" s="1">
        <v>6858</v>
      </c>
      <c r="B1912" s="1">
        <v>2462</v>
      </c>
      <c r="C1912" s="1">
        <v>3650</v>
      </c>
    </row>
    <row r="1913" spans="1:3" x14ac:dyDescent="0.25">
      <c r="A1913" s="1">
        <v>6684</v>
      </c>
      <c r="B1913" s="1">
        <v>2903</v>
      </c>
      <c r="C1913" s="1">
        <v>3650</v>
      </c>
    </row>
    <row r="1914" spans="1:3" x14ac:dyDescent="0.25">
      <c r="A1914" s="1">
        <v>6480</v>
      </c>
      <c r="B1914" s="1">
        <v>3332</v>
      </c>
      <c r="C1914" s="1">
        <v>3650</v>
      </c>
    </row>
    <row r="1915" spans="1:3" x14ac:dyDescent="0.25">
      <c r="A1915" s="1">
        <v>6092</v>
      </c>
      <c r="B1915" s="1">
        <v>3996</v>
      </c>
      <c r="C1915" s="1">
        <v>3650</v>
      </c>
    </row>
    <row r="1916" spans="1:3" x14ac:dyDescent="0.25">
      <c r="A1916" s="1">
        <v>5651</v>
      </c>
      <c r="B1916" s="1">
        <v>4598</v>
      </c>
      <c r="C1916" s="1">
        <v>3650</v>
      </c>
    </row>
    <row r="1917" spans="1:3" x14ac:dyDescent="0.25">
      <c r="A1917" s="1">
        <v>5151</v>
      </c>
      <c r="B1917" s="1">
        <v>5151</v>
      </c>
      <c r="C1917" s="1">
        <v>3650</v>
      </c>
    </row>
    <row r="1918" spans="1:3" x14ac:dyDescent="0.25">
      <c r="A1918" s="1">
        <v>4598</v>
      </c>
      <c r="B1918" s="1">
        <v>5651</v>
      </c>
      <c r="C1918" s="1">
        <v>3650</v>
      </c>
    </row>
    <row r="1919" spans="1:3" x14ac:dyDescent="0.25">
      <c r="A1919" s="1">
        <v>3996</v>
      </c>
      <c r="B1919" s="1">
        <v>6092</v>
      </c>
      <c r="C1919" s="1">
        <v>3650</v>
      </c>
    </row>
    <row r="1920" spans="1:3" x14ac:dyDescent="0.25">
      <c r="A1920" s="1">
        <v>3352</v>
      </c>
      <c r="B1920" s="1">
        <v>6468</v>
      </c>
      <c r="C1920" s="1">
        <v>3650</v>
      </c>
    </row>
    <row r="1921" spans="1:3" x14ac:dyDescent="0.25">
      <c r="A1921" s="1">
        <v>2673</v>
      </c>
      <c r="B1921" s="1">
        <v>6777</v>
      </c>
      <c r="C1921" s="1">
        <v>3650</v>
      </c>
    </row>
    <row r="1922" spans="1:3" x14ac:dyDescent="0.25">
      <c r="A1922" s="1">
        <v>1966</v>
      </c>
      <c r="B1922" s="1">
        <v>7015</v>
      </c>
      <c r="C1922" s="1">
        <v>3650</v>
      </c>
    </row>
    <row r="1923" spans="1:3" x14ac:dyDescent="0.25">
      <c r="A1923" s="1">
        <v>1215</v>
      </c>
      <c r="B1923" s="1">
        <v>7184</v>
      </c>
      <c r="C1923" s="1">
        <v>3650</v>
      </c>
    </row>
    <row r="1924" spans="1:3" x14ac:dyDescent="0.25">
      <c r="A1924" t="s">
        <v>12</v>
      </c>
      <c r="B1924" s="1">
        <v>7249</v>
      </c>
      <c r="C1924" s="1">
        <v>3650</v>
      </c>
    </row>
    <row r="1925" spans="1:3" x14ac:dyDescent="0.25">
      <c r="A1925" t="s">
        <v>13</v>
      </c>
      <c r="B1925" s="1">
        <v>7283</v>
      </c>
      <c r="C1925" s="1">
        <v>3650</v>
      </c>
    </row>
    <row r="1926" spans="1:3" x14ac:dyDescent="0.25">
      <c r="A1926" s="1">
        <v>-7169</v>
      </c>
      <c r="B1926" s="1">
        <v>7287</v>
      </c>
      <c r="C1926" s="1">
        <v>3650</v>
      </c>
    </row>
    <row r="1927" spans="1:3" x14ac:dyDescent="0.25">
      <c r="A1927" s="1">
        <v>-8584</v>
      </c>
      <c r="B1927" s="1">
        <v>8584</v>
      </c>
      <c r="C1927" s="1">
        <v>3650</v>
      </c>
    </row>
    <row r="1928" spans="1:3" x14ac:dyDescent="0.25">
      <c r="A1928" s="1">
        <v>-8584</v>
      </c>
      <c r="B1928" s="1">
        <v>-8584</v>
      </c>
      <c r="C1928" s="1">
        <v>3650</v>
      </c>
    </row>
    <row r="1929" spans="1:3" x14ac:dyDescent="0.25">
      <c r="A1929" t="s">
        <v>65</v>
      </c>
      <c r="B1929" s="1">
        <v>-8580</v>
      </c>
      <c r="C1929" s="1">
        <v>3650</v>
      </c>
    </row>
    <row r="1930" spans="1:3" x14ac:dyDescent="0.25">
      <c r="A1930" t="s">
        <v>2</v>
      </c>
      <c r="B1930" s="1">
        <v>-8564</v>
      </c>
      <c r="C1930" s="1">
        <v>3650</v>
      </c>
    </row>
    <row r="1931" spans="1:3" x14ac:dyDescent="0.25">
      <c r="A1931" s="1">
        <v>1169</v>
      </c>
      <c r="B1931" s="1">
        <v>-8504</v>
      </c>
      <c r="C1931" s="1">
        <v>3650</v>
      </c>
    </row>
    <row r="1932" spans="1:3" x14ac:dyDescent="0.25">
      <c r="A1932" s="1">
        <v>1746</v>
      </c>
      <c r="B1932" s="1">
        <v>-8404</v>
      </c>
      <c r="C1932" s="1">
        <v>3650</v>
      </c>
    </row>
    <row r="1933" spans="1:3" x14ac:dyDescent="0.25">
      <c r="A1933" s="1">
        <v>2316</v>
      </c>
      <c r="B1933" s="1">
        <v>-8265</v>
      </c>
      <c r="C1933" s="1">
        <v>3650</v>
      </c>
    </row>
    <row r="1934" spans="1:3" x14ac:dyDescent="0.25">
      <c r="A1934" s="1">
        <v>2874</v>
      </c>
      <c r="B1934" s="1">
        <v>-8088</v>
      </c>
      <c r="C1934" s="1">
        <v>3650</v>
      </c>
    </row>
    <row r="1935" spans="1:3" x14ac:dyDescent="0.25">
      <c r="A1935" s="1">
        <v>3408</v>
      </c>
      <c r="B1935" s="1">
        <v>-7877</v>
      </c>
      <c r="C1935" s="1">
        <v>3650</v>
      </c>
    </row>
    <row r="1936" spans="1:3" x14ac:dyDescent="0.25">
      <c r="A1936" s="1">
        <v>4206</v>
      </c>
      <c r="B1936" s="1">
        <v>-7481</v>
      </c>
      <c r="C1936" s="1">
        <v>3650</v>
      </c>
    </row>
    <row r="1937" spans="1:3" x14ac:dyDescent="0.25">
      <c r="A1937" s="1">
        <v>4960</v>
      </c>
      <c r="B1937" s="1">
        <v>-7005</v>
      </c>
      <c r="C1937" s="1">
        <v>3650</v>
      </c>
    </row>
    <row r="1938" spans="1:3" x14ac:dyDescent="0.25">
      <c r="A1938" s="1">
        <v>5417</v>
      </c>
      <c r="B1938" s="1">
        <v>-6658</v>
      </c>
      <c r="C1938" s="1">
        <v>3650</v>
      </c>
    </row>
    <row r="1939" spans="1:3" x14ac:dyDescent="0.25">
      <c r="A1939" s="1">
        <v>5859</v>
      </c>
      <c r="B1939" s="1">
        <v>-6273</v>
      </c>
      <c r="C1939" s="1">
        <v>3650</v>
      </c>
    </row>
    <row r="1940" spans="1:3" x14ac:dyDescent="0.25">
      <c r="A1940" s="1">
        <v>6273</v>
      </c>
      <c r="B1940" s="1">
        <v>-5859</v>
      </c>
      <c r="C1940" s="1">
        <v>3650</v>
      </c>
    </row>
    <row r="1941" spans="1:3" x14ac:dyDescent="0.25">
      <c r="A1941" s="1">
        <v>6658</v>
      </c>
      <c r="B1941" s="1">
        <v>-5417</v>
      </c>
      <c r="C1941" s="1">
        <v>3650</v>
      </c>
    </row>
    <row r="1942" spans="1:3" x14ac:dyDescent="0.25">
      <c r="A1942" s="1">
        <v>7013</v>
      </c>
      <c r="B1942" s="1">
        <v>-4950</v>
      </c>
      <c r="C1942" s="1">
        <v>3650</v>
      </c>
    </row>
    <row r="1943" spans="1:3" x14ac:dyDescent="0.25">
      <c r="A1943" s="1">
        <v>7334</v>
      </c>
      <c r="B1943" s="1">
        <v>-4460</v>
      </c>
      <c r="C1943" s="1">
        <v>3650</v>
      </c>
    </row>
    <row r="1944" spans="1:3" x14ac:dyDescent="0.25">
      <c r="A1944" s="1">
        <v>7621</v>
      </c>
      <c r="B1944" s="1">
        <v>-3949</v>
      </c>
      <c r="C1944" s="1">
        <v>3650</v>
      </c>
    </row>
    <row r="1945" spans="1:3" x14ac:dyDescent="0.25">
      <c r="A1945" s="1">
        <v>7873</v>
      </c>
      <c r="B1945" s="1">
        <v>-3420</v>
      </c>
      <c r="C1945" s="1">
        <v>3650</v>
      </c>
    </row>
    <row r="1946" spans="1:3" x14ac:dyDescent="0.25">
      <c r="A1946" s="1">
        <v>8088</v>
      </c>
      <c r="B1946" s="1">
        <v>-2874</v>
      </c>
      <c r="C1946" s="1">
        <v>3650</v>
      </c>
    </row>
    <row r="1947" spans="1:3" x14ac:dyDescent="0.25">
      <c r="A1947" s="1">
        <v>8262</v>
      </c>
      <c r="B1947" s="1">
        <v>-2327</v>
      </c>
      <c r="C1947" s="1">
        <v>3650</v>
      </c>
    </row>
    <row r="1948" spans="1:3" x14ac:dyDescent="0.25">
      <c r="A1948" s="1">
        <v>8460</v>
      </c>
      <c r="B1948" s="1">
        <v>-1446</v>
      </c>
      <c r="C1948" s="1">
        <v>3650</v>
      </c>
    </row>
    <row r="1949" spans="1:3" x14ac:dyDescent="0.25">
      <c r="A1949" s="1">
        <v>8539</v>
      </c>
      <c r="B1949">
        <f>0.878</f>
        <v>0.878</v>
      </c>
      <c r="C1949" s="1">
        <v>3650</v>
      </c>
    </row>
    <row r="1950" spans="1:3" x14ac:dyDescent="0.25">
      <c r="A1950" s="1">
        <v>8579</v>
      </c>
      <c r="B1950">
        <f>0.293</f>
        <v>0.29299999999999998</v>
      </c>
      <c r="C1950" s="1">
        <v>3650</v>
      </c>
    </row>
    <row r="1951" spans="1:3" x14ac:dyDescent="0.25">
      <c r="A1951" s="1">
        <v>8579</v>
      </c>
      <c r="B1951">
        <v>0.29299999999999998</v>
      </c>
      <c r="C1951" s="1">
        <v>3650</v>
      </c>
    </row>
    <row r="1952" spans="1:3" x14ac:dyDescent="0.25">
      <c r="A1952" s="1">
        <v>8539</v>
      </c>
      <c r="B1952">
        <v>0.878</v>
      </c>
      <c r="C1952" s="1">
        <v>3650</v>
      </c>
    </row>
    <row r="1953" spans="1:3" x14ac:dyDescent="0.25">
      <c r="A1953" s="1">
        <v>8459</v>
      </c>
      <c r="B1953" s="1">
        <v>1458</v>
      </c>
      <c r="C1953" s="1">
        <v>3650</v>
      </c>
    </row>
    <row r="1954" spans="1:3" x14ac:dyDescent="0.25">
      <c r="A1954" s="1">
        <v>8342</v>
      </c>
      <c r="B1954" s="1">
        <v>2020</v>
      </c>
      <c r="C1954" s="1">
        <v>3650</v>
      </c>
    </row>
    <row r="1955" spans="1:3" x14ac:dyDescent="0.25">
      <c r="A1955" s="1">
        <v>8084</v>
      </c>
      <c r="B1955" s="1">
        <v>2886</v>
      </c>
      <c r="C1955" s="1">
        <v>3650</v>
      </c>
    </row>
    <row r="1956" spans="1:3" x14ac:dyDescent="0.25">
      <c r="A1956" s="1">
        <v>7873</v>
      </c>
      <c r="B1956" s="1">
        <v>3420</v>
      </c>
      <c r="C1956" s="1">
        <v>3650</v>
      </c>
    </row>
    <row r="1957" spans="1:3" x14ac:dyDescent="0.25">
      <c r="A1957" s="1">
        <v>7626</v>
      </c>
      <c r="B1957" s="1">
        <v>3938</v>
      </c>
      <c r="C1957" s="1">
        <v>3650</v>
      </c>
    </row>
    <row r="1958" spans="1:3" x14ac:dyDescent="0.25">
      <c r="A1958" s="1">
        <v>7177</v>
      </c>
      <c r="B1958" s="1">
        <v>4707</v>
      </c>
      <c r="C1958" s="1">
        <v>3650</v>
      </c>
    </row>
    <row r="1959" spans="1:3" x14ac:dyDescent="0.25">
      <c r="A1959" s="1">
        <v>6658</v>
      </c>
      <c r="B1959" s="1">
        <v>5416</v>
      </c>
      <c r="C1959" s="1">
        <v>3650</v>
      </c>
    </row>
    <row r="1960" spans="1:3" x14ac:dyDescent="0.25">
      <c r="A1960" s="1">
        <v>6069</v>
      </c>
      <c r="B1960" s="1">
        <v>6069</v>
      </c>
      <c r="C1960" s="1">
        <v>3650</v>
      </c>
    </row>
    <row r="1961" spans="1:3" x14ac:dyDescent="0.25">
      <c r="A1961" s="1">
        <v>5416</v>
      </c>
      <c r="B1961" s="1">
        <v>6658</v>
      </c>
      <c r="C1961" s="1">
        <v>3650</v>
      </c>
    </row>
    <row r="1962" spans="1:3" x14ac:dyDescent="0.25">
      <c r="A1962" s="1">
        <v>4707</v>
      </c>
      <c r="B1962" s="1">
        <v>7177</v>
      </c>
      <c r="C1962" s="1">
        <v>3650</v>
      </c>
    </row>
    <row r="1963" spans="1:3" x14ac:dyDescent="0.25">
      <c r="A1963" s="1">
        <v>3949</v>
      </c>
      <c r="B1963" s="1">
        <v>7620</v>
      </c>
      <c r="C1963" s="1">
        <v>3650</v>
      </c>
    </row>
    <row r="1964" spans="1:3" x14ac:dyDescent="0.25">
      <c r="A1964" s="1">
        <v>3149</v>
      </c>
      <c r="B1964" s="1">
        <v>7984</v>
      </c>
      <c r="C1964" s="1">
        <v>3650</v>
      </c>
    </row>
    <row r="1965" spans="1:3" x14ac:dyDescent="0.25">
      <c r="A1965" s="1">
        <v>2316</v>
      </c>
      <c r="B1965" s="1">
        <v>8264</v>
      </c>
      <c r="C1965" s="1">
        <v>3650</v>
      </c>
    </row>
    <row r="1966" spans="1:3" x14ac:dyDescent="0.25">
      <c r="A1966" s="1">
        <v>1446</v>
      </c>
      <c r="B1966" s="1">
        <v>8460</v>
      </c>
      <c r="C1966" s="1">
        <v>3650</v>
      </c>
    </row>
    <row r="1967" spans="1:3" x14ac:dyDescent="0.25">
      <c r="A1967" t="s">
        <v>15</v>
      </c>
      <c r="B1967" s="1">
        <v>8539</v>
      </c>
      <c r="C1967" s="1">
        <v>3650</v>
      </c>
    </row>
    <row r="1968" spans="1:3" x14ac:dyDescent="0.25">
      <c r="A1968" t="s">
        <v>14</v>
      </c>
      <c r="B1968" s="1">
        <v>8579</v>
      </c>
      <c r="C1968" s="1">
        <v>3650</v>
      </c>
    </row>
    <row r="1969" spans="1:3" x14ac:dyDescent="0.25">
      <c r="A1969" s="1">
        <v>-8464</v>
      </c>
      <c r="B1969" s="1">
        <v>8584</v>
      </c>
      <c r="C1969" s="1">
        <v>3650</v>
      </c>
    </row>
    <row r="1970" spans="1:3" x14ac:dyDescent="0.25">
      <c r="A1970" s="1">
        <v>-9600</v>
      </c>
      <c r="B1970" s="1">
        <v>9600</v>
      </c>
      <c r="C1970" s="1">
        <v>3650</v>
      </c>
    </row>
    <row r="1971" spans="1:3" x14ac:dyDescent="0.25">
      <c r="A1971" s="1">
        <v>-9600</v>
      </c>
      <c r="B1971" s="1">
        <v>-9600</v>
      </c>
      <c r="C1971" s="1">
        <v>3650</v>
      </c>
    </row>
    <row r="1972" spans="1:3" x14ac:dyDescent="0.25">
      <c r="A1972" t="s">
        <v>162</v>
      </c>
      <c r="B1972" s="1">
        <v>-9596</v>
      </c>
      <c r="C1972" s="1">
        <v>3650</v>
      </c>
    </row>
    <row r="1973" spans="1:3" x14ac:dyDescent="0.25">
      <c r="A1973" t="s">
        <v>66</v>
      </c>
      <c r="B1973" s="1">
        <v>-9578</v>
      </c>
      <c r="C1973" s="1">
        <v>3650</v>
      </c>
    </row>
    <row r="1974" spans="1:3" x14ac:dyDescent="0.25">
      <c r="A1974" s="1">
        <v>1307</v>
      </c>
      <c r="B1974" s="1">
        <v>-9510</v>
      </c>
      <c r="C1974" s="1">
        <v>3650</v>
      </c>
    </row>
    <row r="1975" spans="1:3" x14ac:dyDescent="0.25">
      <c r="A1975" s="1">
        <v>1953</v>
      </c>
      <c r="B1975" s="1">
        <v>-9399</v>
      </c>
      <c r="C1975" s="1">
        <v>3650</v>
      </c>
    </row>
    <row r="1976" spans="1:3" x14ac:dyDescent="0.25">
      <c r="A1976" s="1">
        <v>2590</v>
      </c>
      <c r="B1976" s="1">
        <v>-9244</v>
      </c>
      <c r="C1976" s="1">
        <v>3650</v>
      </c>
    </row>
    <row r="1977" spans="1:3" x14ac:dyDescent="0.25">
      <c r="A1977" s="1">
        <v>3215</v>
      </c>
      <c r="B1977" s="1">
        <v>-9045</v>
      </c>
      <c r="C1977" s="1">
        <v>3650</v>
      </c>
    </row>
    <row r="1978" spans="1:3" x14ac:dyDescent="0.25">
      <c r="A1978" s="1">
        <v>3821</v>
      </c>
      <c r="B1978" s="1">
        <v>-8806</v>
      </c>
      <c r="C1978" s="1">
        <v>3650</v>
      </c>
    </row>
    <row r="1979" spans="1:3" x14ac:dyDescent="0.25">
      <c r="A1979" s="1">
        <v>4705</v>
      </c>
      <c r="B1979" s="1">
        <v>-8367</v>
      </c>
      <c r="C1979" s="1">
        <v>3650</v>
      </c>
    </row>
    <row r="1980" spans="1:3" x14ac:dyDescent="0.25">
      <c r="A1980" s="1">
        <v>5539</v>
      </c>
      <c r="B1980" s="1">
        <v>-7841</v>
      </c>
      <c r="C1980" s="1">
        <v>3650</v>
      </c>
    </row>
    <row r="1981" spans="1:3" x14ac:dyDescent="0.25">
      <c r="A1981" s="1">
        <v>6058</v>
      </c>
      <c r="B1981" s="1">
        <v>-7447</v>
      </c>
      <c r="C1981" s="1">
        <v>3650</v>
      </c>
    </row>
    <row r="1982" spans="1:3" x14ac:dyDescent="0.25">
      <c r="A1982" s="1">
        <v>6552</v>
      </c>
      <c r="B1982" s="1">
        <v>-7016</v>
      </c>
      <c r="C1982" s="1">
        <v>3650</v>
      </c>
    </row>
    <row r="1983" spans="1:3" x14ac:dyDescent="0.25">
      <c r="A1983" s="1">
        <v>7016</v>
      </c>
      <c r="B1983" s="1">
        <v>-6552</v>
      </c>
      <c r="C1983" s="1">
        <v>3650</v>
      </c>
    </row>
    <row r="1984" spans="1:3" x14ac:dyDescent="0.25">
      <c r="A1984" s="1">
        <v>7447</v>
      </c>
      <c r="B1984" s="1">
        <v>-6058</v>
      </c>
      <c r="C1984" s="1">
        <v>3650</v>
      </c>
    </row>
    <row r="1985" spans="1:3" x14ac:dyDescent="0.25">
      <c r="A1985" s="1">
        <v>7843</v>
      </c>
      <c r="B1985" s="1">
        <v>-5536</v>
      </c>
      <c r="C1985" s="1">
        <v>3650</v>
      </c>
    </row>
    <row r="1986" spans="1:3" x14ac:dyDescent="0.25">
      <c r="A1986" s="1">
        <v>8202</v>
      </c>
      <c r="B1986" s="1">
        <v>-4988</v>
      </c>
      <c r="C1986" s="1">
        <v>3650</v>
      </c>
    </row>
    <row r="1987" spans="1:3" x14ac:dyDescent="0.25">
      <c r="A1987" s="1">
        <v>8523</v>
      </c>
      <c r="B1987" s="1">
        <v>-4417</v>
      </c>
      <c r="C1987" s="1">
        <v>3650</v>
      </c>
    </row>
    <row r="1988" spans="1:3" x14ac:dyDescent="0.25">
      <c r="A1988" s="1">
        <v>8805</v>
      </c>
      <c r="B1988" s="1">
        <v>-3825</v>
      </c>
      <c r="C1988" s="1">
        <v>3650</v>
      </c>
    </row>
    <row r="1989" spans="1:3" x14ac:dyDescent="0.25">
      <c r="A1989" s="1">
        <v>9045</v>
      </c>
      <c r="B1989" s="1">
        <v>-3215</v>
      </c>
      <c r="C1989" s="1">
        <v>3650</v>
      </c>
    </row>
    <row r="1990" spans="1:3" x14ac:dyDescent="0.25">
      <c r="A1990" s="1">
        <v>9243</v>
      </c>
      <c r="B1990" s="1">
        <v>-2593</v>
      </c>
      <c r="C1990" s="1">
        <v>3650</v>
      </c>
    </row>
    <row r="1991" spans="1:3" x14ac:dyDescent="0.25">
      <c r="A1991" s="1">
        <v>9461</v>
      </c>
      <c r="B1991" s="1">
        <v>-1628</v>
      </c>
      <c r="C1991" s="1">
        <v>3650</v>
      </c>
    </row>
    <row r="1992" spans="1:3" x14ac:dyDescent="0.25">
      <c r="A1992" s="1">
        <v>9549</v>
      </c>
      <c r="B1992">
        <f>0.982</f>
        <v>0.98199999999999998</v>
      </c>
      <c r="C1992" s="1">
        <v>3650</v>
      </c>
    </row>
    <row r="1993" spans="1:3" x14ac:dyDescent="0.25">
      <c r="A1993" s="1">
        <v>9594</v>
      </c>
      <c r="B1993">
        <f>0.328</f>
        <v>0.32800000000000001</v>
      </c>
      <c r="C1993" s="1">
        <v>3650</v>
      </c>
    </row>
    <row r="1994" spans="1:3" x14ac:dyDescent="0.25">
      <c r="A1994" s="1">
        <v>9594</v>
      </c>
      <c r="B1994">
        <v>0.32800000000000001</v>
      </c>
      <c r="C1994" s="1">
        <v>3650</v>
      </c>
    </row>
    <row r="1995" spans="1:3" x14ac:dyDescent="0.25">
      <c r="A1995" s="1">
        <v>9549</v>
      </c>
      <c r="B1995">
        <v>0.98199999999999998</v>
      </c>
      <c r="C1995" s="1">
        <v>3650</v>
      </c>
    </row>
    <row r="1996" spans="1:3" x14ac:dyDescent="0.25">
      <c r="A1996" s="1">
        <v>9460</v>
      </c>
      <c r="B1996" s="1">
        <v>1631</v>
      </c>
      <c r="C1996" s="1">
        <v>3650</v>
      </c>
    </row>
    <row r="1997" spans="1:3" x14ac:dyDescent="0.25">
      <c r="A1997" s="1">
        <v>9328</v>
      </c>
      <c r="B1997" s="1">
        <v>2270</v>
      </c>
      <c r="C1997" s="1">
        <v>3650</v>
      </c>
    </row>
    <row r="1998" spans="1:3" x14ac:dyDescent="0.25">
      <c r="A1998" s="1">
        <v>9044</v>
      </c>
      <c r="B1998" s="1">
        <v>3218</v>
      </c>
      <c r="C1998" s="1">
        <v>3650</v>
      </c>
    </row>
    <row r="1999" spans="1:3" x14ac:dyDescent="0.25">
      <c r="A1999" s="1">
        <v>8805</v>
      </c>
      <c r="B1999" s="1">
        <v>3825</v>
      </c>
      <c r="C1999" s="1">
        <v>3650</v>
      </c>
    </row>
    <row r="2000" spans="1:3" x14ac:dyDescent="0.25">
      <c r="A2000" s="1">
        <v>8525</v>
      </c>
      <c r="B2000" s="1">
        <v>4413</v>
      </c>
      <c r="C2000" s="1">
        <v>3650</v>
      </c>
    </row>
    <row r="2001" spans="1:3" x14ac:dyDescent="0.25">
      <c r="A2001" s="1">
        <v>8027</v>
      </c>
      <c r="B2001" s="1">
        <v>5265</v>
      </c>
      <c r="C2001" s="1">
        <v>3650</v>
      </c>
    </row>
    <row r="2002" spans="1:3" x14ac:dyDescent="0.25">
      <c r="A2002" s="1">
        <v>7446</v>
      </c>
      <c r="B2002" s="1">
        <v>6058</v>
      </c>
      <c r="C2002" s="1">
        <v>3650</v>
      </c>
    </row>
    <row r="2003" spans="1:3" x14ac:dyDescent="0.25">
      <c r="A2003" s="1">
        <v>6788</v>
      </c>
      <c r="B2003" s="1">
        <v>6788</v>
      </c>
      <c r="C2003" s="1">
        <v>3650</v>
      </c>
    </row>
    <row r="2004" spans="1:3" x14ac:dyDescent="0.25">
      <c r="A2004" s="1">
        <v>6058</v>
      </c>
      <c r="B2004" s="1">
        <v>7446</v>
      </c>
      <c r="C2004" s="1">
        <v>3650</v>
      </c>
    </row>
    <row r="2005" spans="1:3" x14ac:dyDescent="0.25">
      <c r="A2005" s="1">
        <v>5265</v>
      </c>
      <c r="B2005" s="1">
        <v>8027</v>
      </c>
      <c r="C2005" s="1">
        <v>3650</v>
      </c>
    </row>
    <row r="2006" spans="1:3" x14ac:dyDescent="0.25">
      <c r="A2006" s="1">
        <v>4416</v>
      </c>
      <c r="B2006" s="1">
        <v>8523</v>
      </c>
      <c r="C2006" s="1">
        <v>3650</v>
      </c>
    </row>
    <row r="2007" spans="1:3" x14ac:dyDescent="0.25">
      <c r="A2007" s="1">
        <v>3522</v>
      </c>
      <c r="B2007" s="1">
        <v>8930</v>
      </c>
      <c r="C2007" s="1">
        <v>3650</v>
      </c>
    </row>
    <row r="2008" spans="1:3" x14ac:dyDescent="0.25">
      <c r="A2008" s="1">
        <v>2590</v>
      </c>
      <c r="B2008" s="1">
        <v>9244</v>
      </c>
      <c r="C2008" s="1">
        <v>3650</v>
      </c>
    </row>
    <row r="2009" spans="1:3" x14ac:dyDescent="0.25">
      <c r="A2009" s="1">
        <v>1628</v>
      </c>
      <c r="B2009" s="1">
        <v>9461</v>
      </c>
      <c r="C2009" s="1">
        <v>3650</v>
      </c>
    </row>
    <row r="2010" spans="1:3" x14ac:dyDescent="0.25">
      <c r="A2010" t="s">
        <v>18</v>
      </c>
      <c r="B2010" s="1">
        <v>9549</v>
      </c>
      <c r="C2010" s="1">
        <v>3650</v>
      </c>
    </row>
    <row r="2011" spans="1:3" x14ac:dyDescent="0.25">
      <c r="A2011" t="s">
        <v>17</v>
      </c>
      <c r="B2011" s="1">
        <v>9594</v>
      </c>
      <c r="C2011" s="1">
        <v>3650</v>
      </c>
    </row>
    <row r="2012" spans="1:3" x14ac:dyDescent="0.25">
      <c r="A2012" s="1">
        <v>-9480</v>
      </c>
      <c r="B2012" s="1">
        <v>9600</v>
      </c>
      <c r="C2012" s="1">
        <v>3650</v>
      </c>
    </row>
    <row r="2013" spans="1:3" x14ac:dyDescent="0.25">
      <c r="A2013" s="1">
        <v>-9201</v>
      </c>
      <c r="B2013" s="1">
        <v>8906</v>
      </c>
      <c r="C2013" s="1">
        <v>3650</v>
      </c>
    </row>
    <row r="2014" spans="1:3" x14ac:dyDescent="0.25">
      <c r="A2014" s="1">
        <v>-1765</v>
      </c>
      <c r="B2014" s="1">
        <v>6588</v>
      </c>
      <c r="C2014" s="1">
        <v>3650</v>
      </c>
    </row>
    <row r="2015" spans="1:3" x14ac:dyDescent="0.25">
      <c r="A2015" s="1">
        <v>1712</v>
      </c>
      <c r="B2015" s="1">
        <v>-6391</v>
      </c>
      <c r="C2015" s="1">
        <v>3650</v>
      </c>
    </row>
    <row r="2016" spans="1:3" x14ac:dyDescent="0.25">
      <c r="A2016" s="1">
        <v>3522</v>
      </c>
      <c r="B2016" s="1">
        <v>3522</v>
      </c>
      <c r="C2016" s="1">
        <v>3650</v>
      </c>
    </row>
    <row r="2017" spans="1:3" x14ac:dyDescent="0.25">
      <c r="A2017" s="1">
        <v>3920</v>
      </c>
      <c r="B2017" s="1">
        <v>3081</v>
      </c>
      <c r="C2017" s="1">
        <v>3650</v>
      </c>
    </row>
    <row r="2018" spans="1:3" x14ac:dyDescent="0.25">
      <c r="A2018" s="1">
        <v>4270</v>
      </c>
      <c r="B2018" s="1">
        <v>2602</v>
      </c>
      <c r="C2018" s="1">
        <v>3650</v>
      </c>
    </row>
    <row r="2019" spans="1:3" x14ac:dyDescent="0.25">
      <c r="A2019" s="1">
        <v>4588</v>
      </c>
      <c r="B2019" s="1">
        <v>2059</v>
      </c>
      <c r="C2019" s="1">
        <v>3650</v>
      </c>
    </row>
    <row r="2020" spans="1:3" x14ac:dyDescent="0.25">
      <c r="A2020" s="1">
        <v>4743</v>
      </c>
      <c r="B2020" s="1">
        <v>1733</v>
      </c>
      <c r="C2020" s="1">
        <v>3650</v>
      </c>
    </row>
    <row r="2021" spans="1:3" x14ac:dyDescent="0.25">
      <c r="A2021" s="1">
        <v>4875</v>
      </c>
      <c r="B2021" s="1">
        <v>1398</v>
      </c>
      <c r="C2021" s="1">
        <v>3650</v>
      </c>
    </row>
    <row r="2022" spans="1:3" x14ac:dyDescent="0.25">
      <c r="A2022" s="1">
        <v>5065</v>
      </c>
      <c r="B2022">
        <v>0.76100000000000001</v>
      </c>
      <c r="C2022" s="1">
        <v>3650</v>
      </c>
    </row>
    <row r="2023" spans="1:3" x14ac:dyDescent="0.25">
      <c r="A2023" s="1">
        <v>5139</v>
      </c>
      <c r="B2023">
        <v>0.40799999999999997</v>
      </c>
      <c r="C2023" s="1">
        <v>3650</v>
      </c>
    </row>
    <row r="2024" spans="1:3" x14ac:dyDescent="0.25">
      <c r="A2024" s="1">
        <v>5193</v>
      </c>
      <c r="B2024">
        <v>1.4999999999999999E-2</v>
      </c>
      <c r="C2024" s="1">
        <v>3650</v>
      </c>
    </row>
    <row r="2025" spans="1:3" x14ac:dyDescent="0.25">
      <c r="A2025" s="1">
        <v>5220</v>
      </c>
      <c r="B2025">
        <f>0.38</f>
        <v>0.38</v>
      </c>
      <c r="C2025" s="1">
        <v>3650</v>
      </c>
    </row>
    <row r="2026" spans="1:3" x14ac:dyDescent="0.25">
      <c r="A2026" s="1">
        <v>5220</v>
      </c>
      <c r="B2026">
        <f>0.776</f>
        <v>0.77600000000000002</v>
      </c>
      <c r="C2026" s="1">
        <v>3650</v>
      </c>
    </row>
    <row r="2027" spans="1:3" x14ac:dyDescent="0.25">
      <c r="A2027" s="1">
        <v>5193</v>
      </c>
      <c r="B2027" s="1">
        <v>-1171</v>
      </c>
      <c r="C2027" s="1">
        <v>3650</v>
      </c>
    </row>
    <row r="2028" spans="1:3" x14ac:dyDescent="0.25">
      <c r="A2028" s="1">
        <v>5144</v>
      </c>
      <c r="B2028" s="1">
        <v>-1528</v>
      </c>
      <c r="C2028" s="1">
        <v>3650</v>
      </c>
    </row>
    <row r="2029" spans="1:3" x14ac:dyDescent="0.25">
      <c r="A2029" s="1">
        <v>4997</v>
      </c>
      <c r="B2029" s="1">
        <v>-2177</v>
      </c>
      <c r="C2029" s="1">
        <v>3650</v>
      </c>
    </row>
    <row r="2030" spans="1:3" x14ac:dyDescent="0.25">
      <c r="A2030" s="1">
        <v>4888</v>
      </c>
      <c r="B2030" s="1">
        <v>-2520</v>
      </c>
      <c r="C2030" s="1">
        <v>3650</v>
      </c>
    </row>
    <row r="2031" spans="1:3" x14ac:dyDescent="0.25">
      <c r="A2031" s="1">
        <v>4743</v>
      </c>
      <c r="B2031" s="1">
        <v>-2889</v>
      </c>
      <c r="C2031" s="1">
        <v>3650</v>
      </c>
    </row>
    <row r="2032" spans="1:3" x14ac:dyDescent="0.25">
      <c r="A2032" s="1">
        <v>4573</v>
      </c>
      <c r="B2032" s="1">
        <v>-3246</v>
      </c>
      <c r="C2032" s="1">
        <v>3650</v>
      </c>
    </row>
    <row r="2033" spans="1:3" x14ac:dyDescent="0.25">
      <c r="A2033" s="1">
        <v>4379</v>
      </c>
      <c r="B2033" s="1">
        <v>-3592</v>
      </c>
      <c r="C2033" s="1">
        <v>3650</v>
      </c>
    </row>
    <row r="2034" spans="1:3" x14ac:dyDescent="0.25">
      <c r="A2034" s="1">
        <v>4161</v>
      </c>
      <c r="B2034" s="1">
        <v>-3923</v>
      </c>
      <c r="C2034" s="1">
        <v>3650</v>
      </c>
    </row>
    <row r="2035" spans="1:3" x14ac:dyDescent="0.25">
      <c r="A2035" s="1">
        <v>3922</v>
      </c>
      <c r="B2035" s="1">
        <v>-4239</v>
      </c>
      <c r="C2035" s="1">
        <v>3650</v>
      </c>
    </row>
    <row r="2036" spans="1:3" x14ac:dyDescent="0.25">
      <c r="A2036" s="1">
        <v>3662</v>
      </c>
      <c r="B2036" s="1">
        <v>-4537</v>
      </c>
      <c r="C2036" s="1">
        <v>3650</v>
      </c>
    </row>
    <row r="2037" spans="1:3" x14ac:dyDescent="0.25">
      <c r="A2037" s="1">
        <v>3382</v>
      </c>
      <c r="B2037" s="1">
        <v>-4817</v>
      </c>
      <c r="C2037" s="1">
        <v>3650</v>
      </c>
    </row>
    <row r="2038" spans="1:3" x14ac:dyDescent="0.25">
      <c r="A2038" s="1">
        <v>3083</v>
      </c>
      <c r="B2038" s="1">
        <v>-5077</v>
      </c>
      <c r="C2038" s="1">
        <v>3650</v>
      </c>
    </row>
    <row r="2039" spans="1:3" x14ac:dyDescent="0.25">
      <c r="A2039" s="1">
        <v>2796</v>
      </c>
      <c r="B2039" s="1">
        <v>-5295</v>
      </c>
      <c r="C2039" s="1">
        <v>3650</v>
      </c>
    </row>
    <row r="2040" spans="1:3" x14ac:dyDescent="0.25">
      <c r="A2040" s="1">
        <v>2264</v>
      </c>
      <c r="B2040" s="1">
        <v>-5631</v>
      </c>
      <c r="C2040" s="1">
        <v>3650</v>
      </c>
    </row>
    <row r="2041" spans="1:3" x14ac:dyDescent="0.25">
      <c r="A2041" s="1">
        <v>1700</v>
      </c>
      <c r="B2041" s="1">
        <v>-5911</v>
      </c>
      <c r="C2041" s="1">
        <v>3650</v>
      </c>
    </row>
    <row r="2042" spans="1:3" x14ac:dyDescent="0.25">
      <c r="A2042" s="1">
        <v>1365</v>
      </c>
      <c r="B2042" s="1">
        <v>-6044</v>
      </c>
      <c r="C2042" s="1">
        <v>3650</v>
      </c>
    </row>
    <row r="2043" spans="1:3" x14ac:dyDescent="0.25">
      <c r="A2043" t="s">
        <v>9</v>
      </c>
      <c r="B2043" s="1">
        <v>-6163</v>
      </c>
      <c r="C2043" s="1">
        <v>3650</v>
      </c>
    </row>
    <row r="2044" spans="1:3" x14ac:dyDescent="0.25">
      <c r="A2044" t="s">
        <v>33</v>
      </c>
      <c r="B2044" s="1">
        <v>-6257</v>
      </c>
      <c r="C2044" s="1">
        <v>3650</v>
      </c>
    </row>
    <row r="2045" spans="1:3" x14ac:dyDescent="0.25">
      <c r="A2045" t="s">
        <v>67</v>
      </c>
      <c r="B2045" s="1">
        <v>-6322</v>
      </c>
      <c r="C2045" s="1">
        <v>3650</v>
      </c>
    </row>
    <row r="2046" spans="1:3" x14ac:dyDescent="0.25">
      <c r="A2046" t="e" vm="12">
        <f>_FV(0,"458")</f>
        <v>#VALUE!</v>
      </c>
      <c r="B2046" s="1">
        <v>-6377</v>
      </c>
      <c r="C2046" s="1">
        <v>3650</v>
      </c>
    </row>
    <row r="2047" spans="1:3" x14ac:dyDescent="0.25">
      <c r="A2047" s="1">
        <v>-6379</v>
      </c>
      <c r="B2047" s="1">
        <v>-6379</v>
      </c>
      <c r="C2047" s="1">
        <v>3650</v>
      </c>
    </row>
    <row r="2048" spans="1:3" x14ac:dyDescent="0.25">
      <c r="A2048" s="1">
        <v>4677</v>
      </c>
      <c r="B2048" s="1">
        <v>4677</v>
      </c>
      <c r="C2048" s="1">
        <v>3650</v>
      </c>
    </row>
    <row r="2049" spans="1:3" x14ac:dyDescent="0.25">
      <c r="A2049" s="1">
        <v>4677</v>
      </c>
      <c r="B2049" s="1">
        <v>4677</v>
      </c>
      <c r="C2049" s="1">
        <v>3950</v>
      </c>
    </row>
    <row r="2050" spans="1:3" x14ac:dyDescent="0.25">
      <c r="A2050" s="1">
        <v>-7289</v>
      </c>
      <c r="B2050" s="1">
        <v>7287</v>
      </c>
      <c r="C2050" s="1">
        <v>3950</v>
      </c>
    </row>
    <row r="2051" spans="1:3" x14ac:dyDescent="0.25">
      <c r="A2051" s="1">
        <v>-7289</v>
      </c>
      <c r="B2051" s="1">
        <v>-7288</v>
      </c>
      <c r="C2051" s="1">
        <v>3950</v>
      </c>
    </row>
    <row r="2052" spans="1:3" x14ac:dyDescent="0.25">
      <c r="A2052" t="s">
        <v>68</v>
      </c>
      <c r="B2052" s="1">
        <v>-7284</v>
      </c>
      <c r="C2052" s="1">
        <v>3950</v>
      </c>
    </row>
    <row r="2053" spans="1:3" x14ac:dyDescent="0.25">
      <c r="A2053" t="s">
        <v>11</v>
      </c>
      <c r="B2053" s="1">
        <v>-7219</v>
      </c>
      <c r="C2053" s="1">
        <v>3950</v>
      </c>
    </row>
    <row r="2054" spans="1:3" x14ac:dyDescent="0.25">
      <c r="A2054" s="1">
        <v>1483</v>
      </c>
      <c r="B2054" s="1">
        <v>-7135</v>
      </c>
      <c r="C2054" s="1">
        <v>3950</v>
      </c>
    </row>
    <row r="2055" spans="1:3" x14ac:dyDescent="0.25">
      <c r="A2055" s="1">
        <v>1966</v>
      </c>
      <c r="B2055" s="1">
        <v>-7017</v>
      </c>
      <c r="C2055" s="1">
        <v>3950</v>
      </c>
    </row>
    <row r="2056" spans="1:3" x14ac:dyDescent="0.25">
      <c r="A2056" s="1">
        <v>2440</v>
      </c>
      <c r="B2056" s="1">
        <v>-6866</v>
      </c>
      <c r="C2056" s="1">
        <v>3950</v>
      </c>
    </row>
    <row r="2057" spans="1:3" x14ac:dyDescent="0.25">
      <c r="A2057" s="1">
        <v>2882</v>
      </c>
      <c r="B2057" s="1">
        <v>-6692</v>
      </c>
      <c r="C2057" s="1">
        <v>3950</v>
      </c>
    </row>
    <row r="2058" spans="1:3" x14ac:dyDescent="0.25">
      <c r="A2058" s="1">
        <v>3571</v>
      </c>
      <c r="B2058" s="1">
        <v>-6350</v>
      </c>
      <c r="C2058" s="1">
        <v>3950</v>
      </c>
    </row>
    <row r="2059" spans="1:3" x14ac:dyDescent="0.25">
      <c r="A2059" s="1">
        <v>4221</v>
      </c>
      <c r="B2059" s="1">
        <v>-5939</v>
      </c>
      <c r="C2059" s="1">
        <v>3950</v>
      </c>
    </row>
    <row r="2060" spans="1:3" x14ac:dyDescent="0.25">
      <c r="A2060" s="1">
        <v>4599</v>
      </c>
      <c r="B2060" s="1">
        <v>-5653</v>
      </c>
      <c r="C2060" s="1">
        <v>3950</v>
      </c>
    </row>
    <row r="2061" spans="1:3" x14ac:dyDescent="0.25">
      <c r="A2061" s="1">
        <v>4974</v>
      </c>
      <c r="B2061" s="1">
        <v>-5326</v>
      </c>
      <c r="C2061" s="1">
        <v>3950</v>
      </c>
    </row>
    <row r="2062" spans="1:3" x14ac:dyDescent="0.25">
      <c r="A2062" s="1">
        <v>5326</v>
      </c>
      <c r="B2062" s="1">
        <v>-4974</v>
      </c>
      <c r="C2062" s="1">
        <v>3950</v>
      </c>
    </row>
    <row r="2063" spans="1:3" x14ac:dyDescent="0.25">
      <c r="A2063" s="1">
        <v>5653</v>
      </c>
      <c r="B2063" s="1">
        <v>-4599</v>
      </c>
      <c r="C2063" s="1">
        <v>3950</v>
      </c>
    </row>
    <row r="2064" spans="1:3" x14ac:dyDescent="0.25">
      <c r="A2064" s="1">
        <v>5953</v>
      </c>
      <c r="B2064" s="1">
        <v>-4202</v>
      </c>
      <c r="C2064" s="1">
        <v>3950</v>
      </c>
    </row>
    <row r="2065" spans="1:3" x14ac:dyDescent="0.25">
      <c r="A2065" s="1">
        <v>6226</v>
      </c>
      <c r="B2065" s="1">
        <v>-3786</v>
      </c>
      <c r="C2065" s="1">
        <v>3950</v>
      </c>
    </row>
    <row r="2066" spans="1:3" x14ac:dyDescent="0.25">
      <c r="A2066" s="1">
        <v>6472</v>
      </c>
      <c r="B2066" s="1">
        <v>-3350</v>
      </c>
      <c r="C2066" s="1">
        <v>3950</v>
      </c>
    </row>
    <row r="2067" spans="1:3" x14ac:dyDescent="0.25">
      <c r="A2067" s="1">
        <v>6665</v>
      </c>
      <c r="B2067" s="1">
        <v>-2946</v>
      </c>
      <c r="C2067" s="1">
        <v>3950</v>
      </c>
    </row>
    <row r="2068" spans="1:3" x14ac:dyDescent="0.25">
      <c r="A2068" s="1">
        <v>6946</v>
      </c>
      <c r="B2068" s="1">
        <v>-2204</v>
      </c>
      <c r="C2068" s="1">
        <v>3950</v>
      </c>
    </row>
    <row r="2069" spans="1:3" x14ac:dyDescent="0.25">
      <c r="A2069" s="1">
        <v>7080</v>
      </c>
      <c r="B2069" s="1">
        <v>-1725</v>
      </c>
      <c r="C2069" s="1">
        <v>3950</v>
      </c>
    </row>
    <row r="2070" spans="1:3" x14ac:dyDescent="0.25">
      <c r="A2070" s="1">
        <v>7181</v>
      </c>
      <c r="B2070" s="1">
        <v>-1238</v>
      </c>
      <c r="C2070" s="1">
        <v>3950</v>
      </c>
    </row>
    <row r="2071" spans="1:3" x14ac:dyDescent="0.25">
      <c r="A2071" s="1">
        <v>7249</v>
      </c>
      <c r="B2071">
        <f>0.745</f>
        <v>0.745</v>
      </c>
      <c r="C2071" s="1">
        <v>3950</v>
      </c>
    </row>
    <row r="2072" spans="1:3" x14ac:dyDescent="0.25">
      <c r="A2072" s="1">
        <v>7283</v>
      </c>
      <c r="B2072">
        <f>0.249</f>
        <v>0.249</v>
      </c>
      <c r="C2072" s="1">
        <v>3950</v>
      </c>
    </row>
    <row r="2073" spans="1:3" x14ac:dyDescent="0.25">
      <c r="A2073" s="1">
        <v>7283</v>
      </c>
      <c r="B2073">
        <v>0.249</v>
      </c>
      <c r="C2073" s="1">
        <v>3950</v>
      </c>
    </row>
    <row r="2074" spans="1:3" x14ac:dyDescent="0.25">
      <c r="A2074" s="1">
        <v>7249</v>
      </c>
      <c r="B2074">
        <v>0.745</v>
      </c>
      <c r="C2074" s="1">
        <v>3950</v>
      </c>
    </row>
    <row r="2075" spans="1:3" x14ac:dyDescent="0.25">
      <c r="A2075" s="1">
        <v>7181</v>
      </c>
      <c r="B2075" s="1">
        <v>1239</v>
      </c>
      <c r="C2075" s="1">
        <v>3950</v>
      </c>
    </row>
    <row r="2076" spans="1:3" x14ac:dyDescent="0.25">
      <c r="A2076" s="1">
        <v>7023</v>
      </c>
      <c r="B2076" s="1">
        <v>1946</v>
      </c>
      <c r="C2076" s="1">
        <v>3950</v>
      </c>
    </row>
    <row r="2077" spans="1:3" x14ac:dyDescent="0.25">
      <c r="A2077" s="1">
        <v>6866</v>
      </c>
      <c r="B2077" s="1">
        <v>2440</v>
      </c>
      <c r="C2077" s="1">
        <v>3950</v>
      </c>
    </row>
    <row r="2078" spans="1:3" x14ac:dyDescent="0.25">
      <c r="A2078" s="1">
        <v>6684</v>
      </c>
      <c r="B2078" s="1">
        <v>2903</v>
      </c>
      <c r="C2078" s="1">
        <v>3950</v>
      </c>
    </row>
    <row r="2079" spans="1:3" x14ac:dyDescent="0.25">
      <c r="A2079" s="1">
        <v>6480</v>
      </c>
      <c r="B2079" s="1">
        <v>3332</v>
      </c>
      <c r="C2079" s="1">
        <v>3950</v>
      </c>
    </row>
    <row r="2080" spans="1:3" x14ac:dyDescent="0.25">
      <c r="A2080" s="1">
        <v>6092</v>
      </c>
      <c r="B2080" s="1">
        <v>3996</v>
      </c>
      <c r="C2080" s="1">
        <v>3950</v>
      </c>
    </row>
    <row r="2081" spans="1:3" x14ac:dyDescent="0.25">
      <c r="A2081" s="1">
        <v>5651</v>
      </c>
      <c r="B2081" s="1">
        <v>4598</v>
      </c>
      <c r="C2081" s="1">
        <v>3950</v>
      </c>
    </row>
    <row r="2082" spans="1:3" x14ac:dyDescent="0.25">
      <c r="A2082" s="1">
        <v>5151</v>
      </c>
      <c r="B2082" s="1">
        <v>5151</v>
      </c>
      <c r="C2082" s="1">
        <v>3950</v>
      </c>
    </row>
    <row r="2083" spans="1:3" x14ac:dyDescent="0.25">
      <c r="A2083" s="1">
        <v>4598</v>
      </c>
      <c r="B2083" s="1">
        <v>5651</v>
      </c>
      <c r="C2083" s="1">
        <v>3950</v>
      </c>
    </row>
    <row r="2084" spans="1:3" x14ac:dyDescent="0.25">
      <c r="A2084" s="1">
        <v>3996</v>
      </c>
      <c r="B2084" s="1">
        <v>6092</v>
      </c>
      <c r="C2084" s="1">
        <v>3950</v>
      </c>
    </row>
    <row r="2085" spans="1:3" x14ac:dyDescent="0.25">
      <c r="A2085" s="1">
        <v>3352</v>
      </c>
      <c r="B2085" s="1">
        <v>6468</v>
      </c>
      <c r="C2085" s="1">
        <v>3950</v>
      </c>
    </row>
    <row r="2086" spans="1:3" x14ac:dyDescent="0.25">
      <c r="A2086" s="1">
        <v>2673</v>
      </c>
      <c r="B2086" s="1">
        <v>6777</v>
      </c>
      <c r="C2086" s="1">
        <v>3950</v>
      </c>
    </row>
    <row r="2087" spans="1:3" x14ac:dyDescent="0.25">
      <c r="A2087" s="1">
        <v>1944</v>
      </c>
      <c r="B2087" s="1">
        <v>7022</v>
      </c>
      <c r="C2087" s="1">
        <v>3950</v>
      </c>
    </row>
    <row r="2088" spans="1:3" x14ac:dyDescent="0.25">
      <c r="A2088" s="1">
        <v>1483</v>
      </c>
      <c r="B2088" s="1">
        <v>7135</v>
      </c>
      <c r="C2088" s="1">
        <v>3950</v>
      </c>
    </row>
    <row r="2089" spans="1:3" x14ac:dyDescent="0.25">
      <c r="A2089" s="1">
        <v>1015</v>
      </c>
      <c r="B2089" s="1">
        <v>7215</v>
      </c>
      <c r="C2089" s="1">
        <v>3950</v>
      </c>
    </row>
    <row r="2090" spans="1:3" x14ac:dyDescent="0.25">
      <c r="A2090" t="s">
        <v>69</v>
      </c>
      <c r="B2090" s="1">
        <v>7283</v>
      </c>
      <c r="C2090" s="1">
        <v>3950</v>
      </c>
    </row>
    <row r="2091" spans="1:3" x14ac:dyDescent="0.25">
      <c r="A2091" s="1">
        <v>-7169</v>
      </c>
      <c r="B2091" s="1">
        <v>7287</v>
      </c>
      <c r="C2091" s="1">
        <v>3950</v>
      </c>
    </row>
    <row r="2092" spans="1:3" x14ac:dyDescent="0.25">
      <c r="A2092" s="1">
        <v>-8584</v>
      </c>
      <c r="B2092" s="1">
        <v>8584</v>
      </c>
      <c r="C2092" s="1">
        <v>3950</v>
      </c>
    </row>
    <row r="2093" spans="1:3" x14ac:dyDescent="0.25">
      <c r="A2093" s="1">
        <v>-8584</v>
      </c>
      <c r="B2093" s="1">
        <v>-8584</v>
      </c>
      <c r="C2093" s="1">
        <v>3950</v>
      </c>
    </row>
    <row r="2094" spans="1:3" x14ac:dyDescent="0.25">
      <c r="A2094" t="s">
        <v>67</v>
      </c>
      <c r="B2094" s="1">
        <v>-8580</v>
      </c>
      <c r="C2094" s="1">
        <v>3950</v>
      </c>
    </row>
    <row r="2095" spans="1:3" x14ac:dyDescent="0.25">
      <c r="A2095" t="s">
        <v>70</v>
      </c>
      <c r="B2095" s="1">
        <v>-8564</v>
      </c>
      <c r="C2095" s="1">
        <v>3950</v>
      </c>
    </row>
    <row r="2096" spans="1:3" x14ac:dyDescent="0.25">
      <c r="A2096" s="1">
        <v>1169</v>
      </c>
      <c r="B2096" s="1">
        <v>-8504</v>
      </c>
      <c r="C2096" s="1">
        <v>3950</v>
      </c>
    </row>
    <row r="2097" spans="1:3" x14ac:dyDescent="0.25">
      <c r="A2097" s="1">
        <v>1746</v>
      </c>
      <c r="B2097" s="1">
        <v>-8404</v>
      </c>
      <c r="C2097" s="1">
        <v>3950</v>
      </c>
    </row>
    <row r="2098" spans="1:3" x14ac:dyDescent="0.25">
      <c r="A2098" s="1">
        <v>2316</v>
      </c>
      <c r="B2098" s="1">
        <v>-8265</v>
      </c>
      <c r="C2098" s="1">
        <v>3950</v>
      </c>
    </row>
    <row r="2099" spans="1:3" x14ac:dyDescent="0.25">
      <c r="A2099" s="1">
        <v>2874</v>
      </c>
      <c r="B2099" s="1">
        <v>-8088</v>
      </c>
      <c r="C2099" s="1">
        <v>3950</v>
      </c>
    </row>
    <row r="2100" spans="1:3" x14ac:dyDescent="0.25">
      <c r="A2100" s="1">
        <v>3408</v>
      </c>
      <c r="B2100" s="1">
        <v>-7877</v>
      </c>
      <c r="C2100" s="1">
        <v>3950</v>
      </c>
    </row>
    <row r="2101" spans="1:3" x14ac:dyDescent="0.25">
      <c r="A2101" s="1">
        <v>4206</v>
      </c>
      <c r="B2101" s="1">
        <v>-7481</v>
      </c>
      <c r="C2101" s="1">
        <v>3950</v>
      </c>
    </row>
    <row r="2102" spans="1:3" x14ac:dyDescent="0.25">
      <c r="A2102" s="1">
        <v>4960</v>
      </c>
      <c r="B2102" s="1">
        <v>-7005</v>
      </c>
      <c r="C2102" s="1">
        <v>3950</v>
      </c>
    </row>
    <row r="2103" spans="1:3" x14ac:dyDescent="0.25">
      <c r="A2103" s="1">
        <v>5417</v>
      </c>
      <c r="B2103" s="1">
        <v>-6658</v>
      </c>
      <c r="C2103" s="1">
        <v>3950</v>
      </c>
    </row>
    <row r="2104" spans="1:3" x14ac:dyDescent="0.25">
      <c r="A2104" s="1">
        <v>5859</v>
      </c>
      <c r="B2104" s="1">
        <v>-6273</v>
      </c>
      <c r="C2104" s="1">
        <v>3950</v>
      </c>
    </row>
    <row r="2105" spans="1:3" x14ac:dyDescent="0.25">
      <c r="A2105" s="1">
        <v>6273</v>
      </c>
      <c r="B2105" s="1">
        <v>-5859</v>
      </c>
      <c r="C2105" s="1">
        <v>3950</v>
      </c>
    </row>
    <row r="2106" spans="1:3" x14ac:dyDescent="0.25">
      <c r="A2106" s="1">
        <v>6658</v>
      </c>
      <c r="B2106" s="1">
        <v>-5417</v>
      </c>
      <c r="C2106" s="1">
        <v>3950</v>
      </c>
    </row>
    <row r="2107" spans="1:3" x14ac:dyDescent="0.25">
      <c r="A2107" s="1">
        <v>7013</v>
      </c>
      <c r="B2107" s="1">
        <v>-4950</v>
      </c>
      <c r="C2107" s="1">
        <v>3950</v>
      </c>
    </row>
    <row r="2108" spans="1:3" x14ac:dyDescent="0.25">
      <c r="A2108" s="1">
        <v>7334</v>
      </c>
      <c r="B2108" s="1">
        <v>-4460</v>
      </c>
      <c r="C2108" s="1">
        <v>3950</v>
      </c>
    </row>
    <row r="2109" spans="1:3" x14ac:dyDescent="0.25">
      <c r="A2109" s="1">
        <v>7622</v>
      </c>
      <c r="B2109" s="1">
        <v>-3948</v>
      </c>
      <c r="C2109" s="1">
        <v>3950</v>
      </c>
    </row>
    <row r="2110" spans="1:3" x14ac:dyDescent="0.25">
      <c r="A2110" s="1">
        <v>7847</v>
      </c>
      <c r="B2110" s="1">
        <v>-3478</v>
      </c>
      <c r="C2110" s="1">
        <v>3950</v>
      </c>
    </row>
    <row r="2111" spans="1:3" x14ac:dyDescent="0.25">
      <c r="A2111" s="1">
        <v>7983</v>
      </c>
      <c r="B2111" s="1">
        <v>-3156</v>
      </c>
      <c r="C2111" s="1">
        <v>3950</v>
      </c>
    </row>
    <row r="2112" spans="1:3" x14ac:dyDescent="0.25">
      <c r="A2112" s="1">
        <v>8181</v>
      </c>
      <c r="B2112" s="1">
        <v>-2597</v>
      </c>
      <c r="C2112" s="1">
        <v>3950</v>
      </c>
    </row>
    <row r="2113" spans="1:3" x14ac:dyDescent="0.25">
      <c r="A2113" s="1">
        <v>8339</v>
      </c>
      <c r="B2113" s="1">
        <v>-2032</v>
      </c>
      <c r="C2113" s="1">
        <v>3950</v>
      </c>
    </row>
    <row r="2114" spans="1:3" x14ac:dyDescent="0.25">
      <c r="A2114" s="1">
        <v>8459</v>
      </c>
      <c r="B2114" s="1">
        <v>-1458</v>
      </c>
      <c r="C2114" s="1">
        <v>3950</v>
      </c>
    </row>
    <row r="2115" spans="1:3" x14ac:dyDescent="0.25">
      <c r="A2115" s="1">
        <v>8539</v>
      </c>
      <c r="B2115">
        <f>0.878</f>
        <v>0.878</v>
      </c>
      <c r="C2115" s="1">
        <v>3950</v>
      </c>
    </row>
    <row r="2116" spans="1:3" x14ac:dyDescent="0.25">
      <c r="A2116" s="1">
        <v>8579</v>
      </c>
      <c r="B2116">
        <f>0.293</f>
        <v>0.29299999999999998</v>
      </c>
      <c r="C2116" s="1">
        <v>3950</v>
      </c>
    </row>
    <row r="2117" spans="1:3" x14ac:dyDescent="0.25">
      <c r="A2117" s="1">
        <v>8579</v>
      </c>
      <c r="B2117">
        <v>0.29299999999999998</v>
      </c>
      <c r="C2117" s="1">
        <v>3950</v>
      </c>
    </row>
    <row r="2118" spans="1:3" x14ac:dyDescent="0.25">
      <c r="A2118" s="1">
        <v>8539</v>
      </c>
      <c r="B2118">
        <v>0.878</v>
      </c>
      <c r="C2118" s="1">
        <v>3950</v>
      </c>
    </row>
    <row r="2119" spans="1:3" x14ac:dyDescent="0.25">
      <c r="A2119" s="1">
        <v>8459</v>
      </c>
      <c r="B2119" s="1">
        <v>1459</v>
      </c>
      <c r="C2119" s="1">
        <v>3950</v>
      </c>
    </row>
    <row r="2120" spans="1:3" x14ac:dyDescent="0.25">
      <c r="A2120" s="1">
        <v>8269</v>
      </c>
      <c r="B2120" s="1">
        <v>2306</v>
      </c>
      <c r="C2120" s="1">
        <v>3950</v>
      </c>
    </row>
    <row r="2121" spans="1:3" x14ac:dyDescent="0.25">
      <c r="A2121" s="1">
        <v>8088</v>
      </c>
      <c r="B2121" s="1">
        <v>2874</v>
      </c>
      <c r="C2121" s="1">
        <v>3950</v>
      </c>
    </row>
    <row r="2122" spans="1:3" x14ac:dyDescent="0.25">
      <c r="A2122" s="1">
        <v>7873</v>
      </c>
      <c r="B2122" s="1">
        <v>3420</v>
      </c>
      <c r="C2122" s="1">
        <v>3950</v>
      </c>
    </row>
    <row r="2123" spans="1:3" x14ac:dyDescent="0.25">
      <c r="A2123" s="1">
        <v>7626</v>
      </c>
      <c r="B2123" s="1">
        <v>3938</v>
      </c>
      <c r="C2123" s="1">
        <v>3950</v>
      </c>
    </row>
    <row r="2124" spans="1:3" x14ac:dyDescent="0.25">
      <c r="A2124" s="1">
        <v>7177</v>
      </c>
      <c r="B2124" s="1">
        <v>4707</v>
      </c>
      <c r="C2124" s="1">
        <v>3950</v>
      </c>
    </row>
    <row r="2125" spans="1:3" x14ac:dyDescent="0.25">
      <c r="A2125" s="1">
        <v>6658</v>
      </c>
      <c r="B2125" s="1">
        <v>5416</v>
      </c>
      <c r="C2125" s="1">
        <v>3950</v>
      </c>
    </row>
    <row r="2126" spans="1:3" x14ac:dyDescent="0.25">
      <c r="A2126" s="1">
        <v>6069</v>
      </c>
      <c r="B2126" s="1">
        <v>6069</v>
      </c>
      <c r="C2126" s="1">
        <v>3950</v>
      </c>
    </row>
    <row r="2127" spans="1:3" x14ac:dyDescent="0.25">
      <c r="A2127" s="1">
        <v>5416</v>
      </c>
      <c r="B2127" s="1">
        <v>6658</v>
      </c>
      <c r="C2127" s="1">
        <v>3950</v>
      </c>
    </row>
    <row r="2128" spans="1:3" x14ac:dyDescent="0.25">
      <c r="A2128" s="1">
        <v>4707</v>
      </c>
      <c r="B2128" s="1">
        <v>7177</v>
      </c>
      <c r="C2128" s="1">
        <v>3950</v>
      </c>
    </row>
    <row r="2129" spans="1:3" x14ac:dyDescent="0.25">
      <c r="A2129" s="1">
        <v>3949</v>
      </c>
      <c r="B2129" s="1">
        <v>7620</v>
      </c>
      <c r="C2129" s="1">
        <v>3950</v>
      </c>
    </row>
    <row r="2130" spans="1:3" x14ac:dyDescent="0.25">
      <c r="A2130" s="1">
        <v>3149</v>
      </c>
      <c r="B2130" s="1">
        <v>7984</v>
      </c>
      <c r="C2130" s="1">
        <v>3950</v>
      </c>
    </row>
    <row r="2131" spans="1:3" x14ac:dyDescent="0.25">
      <c r="A2131" s="1">
        <v>2304</v>
      </c>
      <c r="B2131" s="1">
        <v>8268</v>
      </c>
      <c r="C2131" s="1">
        <v>3950</v>
      </c>
    </row>
    <row r="2132" spans="1:3" x14ac:dyDescent="0.25">
      <c r="A2132" s="1">
        <v>1746</v>
      </c>
      <c r="B2132" s="1">
        <v>8404</v>
      </c>
      <c r="C2132" s="1">
        <v>3950</v>
      </c>
    </row>
    <row r="2133" spans="1:3" x14ac:dyDescent="0.25">
      <c r="A2133" s="1">
        <v>1181</v>
      </c>
      <c r="B2133" s="1">
        <v>8502</v>
      </c>
      <c r="C2133" s="1">
        <v>3950</v>
      </c>
    </row>
    <row r="2134" spans="1:3" x14ac:dyDescent="0.25">
      <c r="A2134" t="s">
        <v>71</v>
      </c>
      <c r="B2134" s="1">
        <v>8579</v>
      </c>
      <c r="C2134" s="1">
        <v>3950</v>
      </c>
    </row>
    <row r="2135" spans="1:3" x14ac:dyDescent="0.25">
      <c r="A2135" s="1">
        <v>-8464</v>
      </c>
      <c r="B2135" s="1">
        <v>8584</v>
      </c>
      <c r="C2135" s="1">
        <v>3950</v>
      </c>
    </row>
    <row r="2136" spans="1:3" x14ac:dyDescent="0.25">
      <c r="A2136" s="1">
        <v>-9600</v>
      </c>
      <c r="B2136" s="1">
        <v>9600</v>
      </c>
      <c r="C2136" s="1">
        <v>3950</v>
      </c>
    </row>
    <row r="2137" spans="1:3" x14ac:dyDescent="0.25">
      <c r="A2137" s="1">
        <v>-9600</v>
      </c>
      <c r="B2137" s="1">
        <v>-9600</v>
      </c>
      <c r="C2137" s="1">
        <v>3950</v>
      </c>
    </row>
    <row r="2138" spans="1:3" x14ac:dyDescent="0.25">
      <c r="A2138" t="s">
        <v>163</v>
      </c>
      <c r="B2138" s="1">
        <v>-9596</v>
      </c>
      <c r="C2138" s="1">
        <v>3950</v>
      </c>
    </row>
    <row r="2139" spans="1:3" x14ac:dyDescent="0.25">
      <c r="A2139" t="s">
        <v>66</v>
      </c>
      <c r="B2139" s="1">
        <v>-9578</v>
      </c>
      <c r="C2139" s="1">
        <v>3950</v>
      </c>
    </row>
    <row r="2140" spans="1:3" x14ac:dyDescent="0.25">
      <c r="A2140" s="1">
        <v>1307</v>
      </c>
      <c r="B2140" s="1">
        <v>-9510</v>
      </c>
      <c r="C2140" s="1">
        <v>3950</v>
      </c>
    </row>
    <row r="2141" spans="1:3" x14ac:dyDescent="0.25">
      <c r="A2141" s="1">
        <v>1953</v>
      </c>
      <c r="B2141" s="1">
        <v>-9399</v>
      </c>
      <c r="C2141" s="1">
        <v>3950</v>
      </c>
    </row>
    <row r="2142" spans="1:3" x14ac:dyDescent="0.25">
      <c r="A2142" s="1">
        <v>2590</v>
      </c>
      <c r="B2142" s="1">
        <v>-9244</v>
      </c>
      <c r="C2142" s="1">
        <v>3950</v>
      </c>
    </row>
    <row r="2143" spans="1:3" x14ac:dyDescent="0.25">
      <c r="A2143" s="1">
        <v>3215</v>
      </c>
      <c r="B2143" s="1">
        <v>-9045</v>
      </c>
      <c r="C2143" s="1">
        <v>3950</v>
      </c>
    </row>
    <row r="2144" spans="1:3" x14ac:dyDescent="0.25">
      <c r="A2144" s="1">
        <v>3821</v>
      </c>
      <c r="B2144" s="1">
        <v>-8806</v>
      </c>
      <c r="C2144" s="1">
        <v>3950</v>
      </c>
    </row>
    <row r="2145" spans="1:3" x14ac:dyDescent="0.25">
      <c r="A2145" s="1">
        <v>4705</v>
      </c>
      <c r="B2145" s="1">
        <v>-8367</v>
      </c>
      <c r="C2145" s="1">
        <v>3950</v>
      </c>
    </row>
    <row r="2146" spans="1:3" x14ac:dyDescent="0.25">
      <c r="A2146" s="1">
        <v>5539</v>
      </c>
      <c r="B2146" s="1">
        <v>-7841</v>
      </c>
      <c r="C2146" s="1">
        <v>3950</v>
      </c>
    </row>
    <row r="2147" spans="1:3" x14ac:dyDescent="0.25">
      <c r="A2147" s="1">
        <v>6058</v>
      </c>
      <c r="B2147" s="1">
        <v>-7447</v>
      </c>
      <c r="C2147" s="1">
        <v>3950</v>
      </c>
    </row>
    <row r="2148" spans="1:3" x14ac:dyDescent="0.25">
      <c r="A2148" s="1">
        <v>6552</v>
      </c>
      <c r="B2148" s="1">
        <v>-7016</v>
      </c>
      <c r="C2148" s="1">
        <v>3950</v>
      </c>
    </row>
    <row r="2149" spans="1:3" x14ac:dyDescent="0.25">
      <c r="A2149" s="1">
        <v>7016</v>
      </c>
      <c r="B2149" s="1">
        <v>-6552</v>
      </c>
      <c r="C2149" s="1">
        <v>3950</v>
      </c>
    </row>
    <row r="2150" spans="1:3" x14ac:dyDescent="0.25">
      <c r="A2150" s="1">
        <v>7447</v>
      </c>
      <c r="B2150" s="1">
        <v>-6058</v>
      </c>
      <c r="C2150" s="1">
        <v>3950</v>
      </c>
    </row>
    <row r="2151" spans="1:3" x14ac:dyDescent="0.25">
      <c r="A2151" s="1">
        <v>7843</v>
      </c>
      <c r="B2151" s="1">
        <v>-5536</v>
      </c>
      <c r="C2151" s="1">
        <v>3950</v>
      </c>
    </row>
    <row r="2152" spans="1:3" x14ac:dyDescent="0.25">
      <c r="A2152" s="1">
        <v>8202</v>
      </c>
      <c r="B2152" s="1">
        <v>-4988</v>
      </c>
      <c r="C2152" s="1">
        <v>3950</v>
      </c>
    </row>
    <row r="2153" spans="1:3" x14ac:dyDescent="0.25">
      <c r="A2153" s="1">
        <v>8524</v>
      </c>
      <c r="B2153" s="1">
        <v>-4416</v>
      </c>
      <c r="C2153" s="1">
        <v>3950</v>
      </c>
    </row>
    <row r="2154" spans="1:3" x14ac:dyDescent="0.25">
      <c r="A2154" s="1">
        <v>8773</v>
      </c>
      <c r="B2154" s="1">
        <v>-3894</v>
      </c>
      <c r="C2154" s="1">
        <v>3950</v>
      </c>
    </row>
    <row r="2155" spans="1:3" x14ac:dyDescent="0.25">
      <c r="A2155" s="1">
        <v>8930</v>
      </c>
      <c r="B2155" s="1">
        <v>-3524</v>
      </c>
      <c r="C2155" s="1">
        <v>3950</v>
      </c>
    </row>
    <row r="2156" spans="1:3" x14ac:dyDescent="0.25">
      <c r="A2156" s="1">
        <v>9150</v>
      </c>
      <c r="B2156" s="1">
        <v>-2904</v>
      </c>
      <c r="C2156" s="1">
        <v>3950</v>
      </c>
    </row>
    <row r="2157" spans="1:3" x14ac:dyDescent="0.25">
      <c r="A2157" s="1">
        <v>9327</v>
      </c>
      <c r="B2157" s="1">
        <v>-2273</v>
      </c>
      <c r="C2157" s="1">
        <v>3950</v>
      </c>
    </row>
    <row r="2158" spans="1:3" x14ac:dyDescent="0.25">
      <c r="A2158" s="1">
        <v>9460</v>
      </c>
      <c r="B2158" s="1">
        <v>-1631</v>
      </c>
      <c r="C2158" s="1">
        <v>3950</v>
      </c>
    </row>
    <row r="2159" spans="1:3" x14ac:dyDescent="0.25">
      <c r="A2159" s="1">
        <v>9549</v>
      </c>
      <c r="B2159">
        <f>0.982</f>
        <v>0.98199999999999998</v>
      </c>
      <c r="C2159" s="1">
        <v>3950</v>
      </c>
    </row>
    <row r="2160" spans="1:3" x14ac:dyDescent="0.25">
      <c r="A2160" s="1">
        <v>9594</v>
      </c>
      <c r="B2160">
        <f>0.328</f>
        <v>0.32800000000000001</v>
      </c>
      <c r="C2160" s="1">
        <v>3950</v>
      </c>
    </row>
    <row r="2161" spans="1:3" x14ac:dyDescent="0.25">
      <c r="A2161" s="1">
        <v>9594</v>
      </c>
      <c r="B2161">
        <v>0.32800000000000001</v>
      </c>
      <c r="C2161" s="1">
        <v>3950</v>
      </c>
    </row>
    <row r="2162" spans="1:3" x14ac:dyDescent="0.25">
      <c r="A2162" s="1">
        <v>9549</v>
      </c>
      <c r="B2162">
        <v>0.98199999999999998</v>
      </c>
      <c r="C2162" s="1">
        <v>3950</v>
      </c>
    </row>
    <row r="2163" spans="1:3" x14ac:dyDescent="0.25">
      <c r="A2163" s="1">
        <v>9460</v>
      </c>
      <c r="B2163" s="1">
        <v>1631</v>
      </c>
      <c r="C2163" s="1">
        <v>3950</v>
      </c>
    </row>
    <row r="2164" spans="1:3" x14ac:dyDescent="0.25">
      <c r="A2164" s="1">
        <v>9245</v>
      </c>
      <c r="B2164" s="1">
        <v>2587</v>
      </c>
      <c r="C2164" s="1">
        <v>3950</v>
      </c>
    </row>
    <row r="2165" spans="1:3" x14ac:dyDescent="0.25">
      <c r="A2165" s="1">
        <v>9045</v>
      </c>
      <c r="B2165" s="1">
        <v>3215</v>
      </c>
      <c r="C2165" s="1">
        <v>3950</v>
      </c>
    </row>
    <row r="2166" spans="1:3" x14ac:dyDescent="0.25">
      <c r="A2166" s="1">
        <v>8805</v>
      </c>
      <c r="B2166" s="1">
        <v>3825</v>
      </c>
      <c r="C2166" s="1">
        <v>3950</v>
      </c>
    </row>
    <row r="2167" spans="1:3" x14ac:dyDescent="0.25">
      <c r="A2167" s="1">
        <v>8525</v>
      </c>
      <c r="B2167" s="1">
        <v>4413</v>
      </c>
      <c r="C2167" s="1">
        <v>3950</v>
      </c>
    </row>
    <row r="2168" spans="1:3" x14ac:dyDescent="0.25">
      <c r="A2168" s="1">
        <v>8027</v>
      </c>
      <c r="B2168" s="1">
        <v>5265</v>
      </c>
      <c r="C2168" s="1">
        <v>3950</v>
      </c>
    </row>
    <row r="2169" spans="1:3" x14ac:dyDescent="0.25">
      <c r="A2169" s="1">
        <v>7446</v>
      </c>
      <c r="B2169" s="1">
        <v>6058</v>
      </c>
      <c r="C2169" s="1">
        <v>3950</v>
      </c>
    </row>
    <row r="2170" spans="1:3" x14ac:dyDescent="0.25">
      <c r="A2170" s="1">
        <v>6788</v>
      </c>
      <c r="B2170" s="1">
        <v>6788</v>
      </c>
      <c r="C2170" s="1">
        <v>3950</v>
      </c>
    </row>
    <row r="2171" spans="1:3" x14ac:dyDescent="0.25">
      <c r="A2171" s="1">
        <v>6058</v>
      </c>
      <c r="B2171" s="1">
        <v>7446</v>
      </c>
      <c r="C2171" s="1">
        <v>3950</v>
      </c>
    </row>
    <row r="2172" spans="1:3" x14ac:dyDescent="0.25">
      <c r="A2172" s="1">
        <v>5265</v>
      </c>
      <c r="B2172" s="1">
        <v>8027</v>
      </c>
      <c r="C2172" s="1">
        <v>3950</v>
      </c>
    </row>
    <row r="2173" spans="1:3" x14ac:dyDescent="0.25">
      <c r="A2173" s="1">
        <v>4416</v>
      </c>
      <c r="B2173" s="1">
        <v>8523</v>
      </c>
      <c r="C2173" s="1">
        <v>3950</v>
      </c>
    </row>
    <row r="2174" spans="1:3" x14ac:dyDescent="0.25">
      <c r="A2174" s="1">
        <v>3522</v>
      </c>
      <c r="B2174" s="1">
        <v>8930</v>
      </c>
      <c r="C2174" s="1">
        <v>3950</v>
      </c>
    </row>
    <row r="2175" spans="1:3" x14ac:dyDescent="0.25">
      <c r="A2175" s="1">
        <v>2587</v>
      </c>
      <c r="B2175" s="1">
        <v>9245</v>
      </c>
      <c r="C2175" s="1">
        <v>3950</v>
      </c>
    </row>
    <row r="2176" spans="1:3" x14ac:dyDescent="0.25">
      <c r="A2176" s="1">
        <v>1953</v>
      </c>
      <c r="B2176" s="1">
        <v>9399</v>
      </c>
      <c r="C2176" s="1">
        <v>3950</v>
      </c>
    </row>
    <row r="2177" spans="1:3" x14ac:dyDescent="0.25">
      <c r="A2177" s="1">
        <v>1311</v>
      </c>
      <c r="B2177" s="1">
        <v>9510</v>
      </c>
      <c r="C2177" s="1">
        <v>3950</v>
      </c>
    </row>
    <row r="2178" spans="1:3" x14ac:dyDescent="0.25">
      <c r="A2178" t="s">
        <v>72</v>
      </c>
      <c r="B2178" s="1">
        <v>9594</v>
      </c>
      <c r="C2178" s="1">
        <v>3950</v>
      </c>
    </row>
    <row r="2179" spans="1:3" x14ac:dyDescent="0.25">
      <c r="A2179" s="1">
        <v>-9480</v>
      </c>
      <c r="B2179" s="1">
        <v>9600</v>
      </c>
      <c r="C2179" s="1">
        <v>3950</v>
      </c>
    </row>
    <row r="2180" spans="1:3" x14ac:dyDescent="0.25">
      <c r="A2180" s="1">
        <v>-9202</v>
      </c>
      <c r="B2180" s="1">
        <v>8906</v>
      </c>
      <c r="C2180" s="1">
        <v>3950</v>
      </c>
    </row>
    <row r="2181" spans="1:3" x14ac:dyDescent="0.25">
      <c r="A2181" s="1">
        <v>-1765</v>
      </c>
      <c r="B2181" s="1">
        <v>6588</v>
      </c>
      <c r="C2181" s="1">
        <v>3950</v>
      </c>
    </row>
    <row r="2182" spans="1:3" x14ac:dyDescent="0.25">
      <c r="A2182" s="1">
        <v>1712</v>
      </c>
      <c r="B2182" s="1">
        <v>-6391</v>
      </c>
      <c r="C2182" s="1">
        <v>3950</v>
      </c>
    </row>
    <row r="2183" spans="1:3" x14ac:dyDescent="0.25">
      <c r="A2183" s="1">
        <v>3522</v>
      </c>
      <c r="B2183" s="1">
        <v>3522</v>
      </c>
      <c r="C2183" s="1">
        <v>3950</v>
      </c>
    </row>
    <row r="2184" spans="1:3" x14ac:dyDescent="0.25">
      <c r="A2184" s="1">
        <v>3920</v>
      </c>
      <c r="B2184" s="1">
        <v>3081</v>
      </c>
      <c r="C2184" s="1">
        <v>3950</v>
      </c>
    </row>
    <row r="2185" spans="1:3" x14ac:dyDescent="0.25">
      <c r="A2185" s="1">
        <v>4270</v>
      </c>
      <c r="B2185" s="1">
        <v>2602</v>
      </c>
      <c r="C2185" s="1">
        <v>3950</v>
      </c>
    </row>
    <row r="2186" spans="1:3" x14ac:dyDescent="0.25">
      <c r="A2186" s="1">
        <v>4588</v>
      </c>
      <c r="B2186" s="1">
        <v>2059</v>
      </c>
      <c r="C2186" s="1">
        <v>3950</v>
      </c>
    </row>
    <row r="2187" spans="1:3" x14ac:dyDescent="0.25">
      <c r="A2187" s="1">
        <v>4743</v>
      </c>
      <c r="B2187" s="1">
        <v>1733</v>
      </c>
      <c r="C2187" s="1">
        <v>3950</v>
      </c>
    </row>
    <row r="2188" spans="1:3" x14ac:dyDescent="0.25">
      <c r="A2188" s="1">
        <v>4884</v>
      </c>
      <c r="B2188" s="1">
        <v>1376</v>
      </c>
      <c r="C2188" s="1">
        <v>3950</v>
      </c>
    </row>
    <row r="2189" spans="1:3" x14ac:dyDescent="0.25">
      <c r="A2189" s="1">
        <v>5060</v>
      </c>
      <c r="B2189">
        <v>0.78900000000000003</v>
      </c>
      <c r="C2189" s="1">
        <v>3950</v>
      </c>
    </row>
    <row r="2190" spans="1:3" x14ac:dyDescent="0.25">
      <c r="A2190" s="1">
        <v>5139</v>
      </c>
      <c r="B2190">
        <v>0.40899999999999997</v>
      </c>
      <c r="C2190" s="1">
        <v>3950</v>
      </c>
    </row>
    <row r="2191" spans="1:3" x14ac:dyDescent="0.25">
      <c r="A2191" s="1">
        <v>5193</v>
      </c>
      <c r="B2191">
        <v>1.4999999999999999E-2</v>
      </c>
      <c r="C2191" s="1">
        <v>3950</v>
      </c>
    </row>
    <row r="2192" spans="1:3" x14ac:dyDescent="0.25">
      <c r="A2192" s="1">
        <v>5220</v>
      </c>
      <c r="B2192">
        <f>0.38</f>
        <v>0.38</v>
      </c>
      <c r="C2192" s="1">
        <v>3950</v>
      </c>
    </row>
    <row r="2193" spans="1:3" x14ac:dyDescent="0.25">
      <c r="A2193" s="1">
        <v>5220</v>
      </c>
      <c r="B2193">
        <f>0.776</f>
        <v>0.77600000000000002</v>
      </c>
      <c r="C2193" s="1">
        <v>3950</v>
      </c>
    </row>
    <row r="2194" spans="1:3" x14ac:dyDescent="0.25">
      <c r="A2194" s="1">
        <v>5193</v>
      </c>
      <c r="B2194" s="1">
        <v>-1171</v>
      </c>
      <c r="C2194" s="1">
        <v>3950</v>
      </c>
    </row>
    <row r="2195" spans="1:3" x14ac:dyDescent="0.25">
      <c r="A2195" s="1">
        <v>5139</v>
      </c>
      <c r="B2195" s="1">
        <v>-1563</v>
      </c>
      <c r="C2195" s="1">
        <v>3950</v>
      </c>
    </row>
    <row r="2196" spans="1:3" x14ac:dyDescent="0.25">
      <c r="A2196" s="1">
        <v>5058</v>
      </c>
      <c r="B2196" s="1">
        <v>-1951</v>
      </c>
      <c r="C2196" s="1">
        <v>3950</v>
      </c>
    </row>
    <row r="2197" spans="1:3" x14ac:dyDescent="0.25">
      <c r="A2197" s="1">
        <v>4955</v>
      </c>
      <c r="B2197" s="1">
        <v>-2318</v>
      </c>
      <c r="C2197" s="1">
        <v>3950</v>
      </c>
    </row>
    <row r="2198" spans="1:3" x14ac:dyDescent="0.25">
      <c r="A2198" s="1">
        <v>4720</v>
      </c>
      <c r="B2198" s="1">
        <v>-2939</v>
      </c>
      <c r="C2198" s="1">
        <v>3950</v>
      </c>
    </row>
    <row r="2199" spans="1:3" x14ac:dyDescent="0.25">
      <c r="A2199" s="1">
        <v>4379</v>
      </c>
      <c r="B2199" s="1">
        <v>-3592</v>
      </c>
      <c r="C2199" s="1">
        <v>3950</v>
      </c>
    </row>
    <row r="2200" spans="1:3" x14ac:dyDescent="0.25">
      <c r="A2200" s="1">
        <v>4161</v>
      </c>
      <c r="B2200" s="1">
        <v>-3923</v>
      </c>
      <c r="C2200" s="1">
        <v>3950</v>
      </c>
    </row>
    <row r="2201" spans="1:3" x14ac:dyDescent="0.25">
      <c r="A2201" s="1">
        <v>3922</v>
      </c>
      <c r="B2201" s="1">
        <v>-4239</v>
      </c>
      <c r="C2201" s="1">
        <v>3950</v>
      </c>
    </row>
    <row r="2202" spans="1:3" x14ac:dyDescent="0.25">
      <c r="A2202" s="1">
        <v>3662</v>
      </c>
      <c r="B2202" s="1">
        <v>-4537</v>
      </c>
      <c r="C2202" s="1">
        <v>3950</v>
      </c>
    </row>
    <row r="2203" spans="1:3" x14ac:dyDescent="0.25">
      <c r="A2203" s="1">
        <v>3382</v>
      </c>
      <c r="B2203" s="1">
        <v>-4817</v>
      </c>
      <c r="C2203" s="1">
        <v>3950</v>
      </c>
    </row>
    <row r="2204" spans="1:3" x14ac:dyDescent="0.25">
      <c r="A2204" s="1">
        <v>3083</v>
      </c>
      <c r="B2204" s="1">
        <v>-5077</v>
      </c>
      <c r="C2204" s="1">
        <v>3950</v>
      </c>
    </row>
    <row r="2205" spans="1:3" x14ac:dyDescent="0.25">
      <c r="A2205" s="1">
        <v>2796</v>
      </c>
      <c r="B2205" s="1">
        <v>-5295</v>
      </c>
      <c r="C2205" s="1">
        <v>3950</v>
      </c>
    </row>
    <row r="2206" spans="1:3" x14ac:dyDescent="0.25">
      <c r="A2206" s="1">
        <v>2264</v>
      </c>
      <c r="B2206" s="1">
        <v>-5631</v>
      </c>
      <c r="C2206" s="1">
        <v>3950</v>
      </c>
    </row>
    <row r="2207" spans="1:3" x14ac:dyDescent="0.25">
      <c r="A2207" s="1">
        <v>1700</v>
      </c>
      <c r="B2207" s="1">
        <v>-5911</v>
      </c>
      <c r="C2207" s="1">
        <v>3950</v>
      </c>
    </row>
    <row r="2208" spans="1:3" x14ac:dyDescent="0.25">
      <c r="A2208" s="1">
        <v>1365</v>
      </c>
      <c r="B2208" s="1">
        <v>-6044</v>
      </c>
      <c r="C2208" s="1">
        <v>3950</v>
      </c>
    </row>
    <row r="2209" spans="1:3" x14ac:dyDescent="0.25">
      <c r="A2209" t="s">
        <v>9</v>
      </c>
      <c r="B2209" s="1">
        <v>-6163</v>
      </c>
      <c r="C2209" s="1">
        <v>3950</v>
      </c>
    </row>
    <row r="2210" spans="1:3" x14ac:dyDescent="0.25">
      <c r="A2210" t="s">
        <v>33</v>
      </c>
      <c r="B2210" s="1">
        <v>-6257</v>
      </c>
      <c r="C2210" s="1">
        <v>3950</v>
      </c>
    </row>
    <row r="2211" spans="1:3" x14ac:dyDescent="0.25">
      <c r="A2211" t="s">
        <v>74</v>
      </c>
      <c r="B2211" s="1">
        <v>-6322</v>
      </c>
      <c r="C2211" s="1">
        <v>3950</v>
      </c>
    </row>
    <row r="2212" spans="1:3" x14ac:dyDescent="0.25">
      <c r="A2212" t="e" vm="13">
        <f>_FV(0,"44")</f>
        <v>#VALUE!</v>
      </c>
      <c r="B2212" s="1">
        <v>-6377</v>
      </c>
      <c r="C2212" s="1">
        <v>3950</v>
      </c>
    </row>
    <row r="2213" spans="1:3" x14ac:dyDescent="0.25">
      <c r="A2213" s="1">
        <v>-6379</v>
      </c>
      <c r="B2213" s="1">
        <v>-6379</v>
      </c>
      <c r="C2213" s="1">
        <v>3950</v>
      </c>
    </row>
    <row r="2214" spans="1:3" x14ac:dyDescent="0.25">
      <c r="A2214" s="1">
        <v>4677</v>
      </c>
      <c r="B2214" s="1">
        <v>4677</v>
      </c>
      <c r="C2214" s="1">
        <v>3950</v>
      </c>
    </row>
    <row r="2215" spans="1:3" x14ac:dyDescent="0.25">
      <c r="A2215" s="1">
        <v>4677</v>
      </c>
      <c r="B2215" s="1">
        <v>4677</v>
      </c>
      <c r="C2215" s="1">
        <v>4250</v>
      </c>
    </row>
    <row r="2216" spans="1:3" x14ac:dyDescent="0.25">
      <c r="A2216" s="1">
        <v>-7289</v>
      </c>
      <c r="B2216" s="1">
        <v>7287</v>
      </c>
      <c r="C2216" s="1">
        <v>4250</v>
      </c>
    </row>
    <row r="2217" spans="1:3" x14ac:dyDescent="0.25">
      <c r="A2217" s="1">
        <v>-7289</v>
      </c>
      <c r="B2217" s="1">
        <v>-7288</v>
      </c>
      <c r="C2217" s="1">
        <v>4250</v>
      </c>
    </row>
    <row r="2218" spans="1:3" x14ac:dyDescent="0.25">
      <c r="A2218" t="s">
        <v>75</v>
      </c>
      <c r="B2218" s="1">
        <v>-7284</v>
      </c>
      <c r="C2218" s="1">
        <v>4250</v>
      </c>
    </row>
    <row r="2219" spans="1:3" x14ac:dyDescent="0.25">
      <c r="A2219" t="s">
        <v>11</v>
      </c>
      <c r="B2219" s="1">
        <v>-7219</v>
      </c>
      <c r="C2219" s="1">
        <v>4250</v>
      </c>
    </row>
    <row r="2220" spans="1:3" x14ac:dyDescent="0.25">
      <c r="A2220" s="1">
        <v>1483</v>
      </c>
      <c r="B2220" s="1">
        <v>-7135</v>
      </c>
      <c r="C2220" s="1">
        <v>4250</v>
      </c>
    </row>
    <row r="2221" spans="1:3" x14ac:dyDescent="0.25">
      <c r="A2221" s="1">
        <v>1966</v>
      </c>
      <c r="B2221" s="1">
        <v>-7017</v>
      </c>
      <c r="C2221" s="1">
        <v>4250</v>
      </c>
    </row>
    <row r="2222" spans="1:3" x14ac:dyDescent="0.25">
      <c r="A2222" s="1">
        <v>2443</v>
      </c>
      <c r="B2222" s="1">
        <v>-6866</v>
      </c>
      <c r="C2222" s="1">
        <v>4250</v>
      </c>
    </row>
    <row r="2223" spans="1:3" x14ac:dyDescent="0.25">
      <c r="A2223" s="1">
        <v>3115</v>
      </c>
      <c r="B2223" s="1">
        <v>-6588</v>
      </c>
      <c r="C2223" s="1">
        <v>4250</v>
      </c>
    </row>
    <row r="2224" spans="1:3" x14ac:dyDescent="0.25">
      <c r="A2224" s="1">
        <v>3551</v>
      </c>
      <c r="B2224" s="1">
        <v>-6363</v>
      </c>
      <c r="C2224" s="1">
        <v>4250</v>
      </c>
    </row>
    <row r="2225" spans="1:3" x14ac:dyDescent="0.25">
      <c r="A2225" s="1">
        <v>4221</v>
      </c>
      <c r="B2225" s="1">
        <v>-5939</v>
      </c>
      <c r="C2225" s="1">
        <v>4250</v>
      </c>
    </row>
    <row r="2226" spans="1:3" x14ac:dyDescent="0.25">
      <c r="A2226" s="1">
        <v>4599</v>
      </c>
      <c r="B2226" s="1">
        <v>-5653</v>
      </c>
      <c r="C2226" s="1">
        <v>4250</v>
      </c>
    </row>
    <row r="2227" spans="1:3" x14ac:dyDescent="0.25">
      <c r="A2227" s="1">
        <v>4974</v>
      </c>
      <c r="B2227" s="1">
        <v>-5326</v>
      </c>
      <c r="C2227" s="1">
        <v>4250</v>
      </c>
    </row>
    <row r="2228" spans="1:3" x14ac:dyDescent="0.25">
      <c r="A2228" s="1">
        <v>5326</v>
      </c>
      <c r="B2228" s="1">
        <v>-4974</v>
      </c>
      <c r="C2228" s="1">
        <v>4250</v>
      </c>
    </row>
    <row r="2229" spans="1:3" x14ac:dyDescent="0.25">
      <c r="A2229" s="1">
        <v>5653</v>
      </c>
      <c r="B2229" s="1">
        <v>-4599</v>
      </c>
      <c r="C2229" s="1">
        <v>4250</v>
      </c>
    </row>
    <row r="2230" spans="1:3" x14ac:dyDescent="0.25">
      <c r="A2230" s="1">
        <v>5953</v>
      </c>
      <c r="B2230" s="1">
        <v>-4202</v>
      </c>
      <c r="C2230" s="1">
        <v>4250</v>
      </c>
    </row>
    <row r="2231" spans="1:3" x14ac:dyDescent="0.25">
      <c r="A2231" s="1">
        <v>6226</v>
      </c>
      <c r="B2231" s="1">
        <v>-3786</v>
      </c>
      <c r="C2231" s="1">
        <v>4250</v>
      </c>
    </row>
    <row r="2232" spans="1:3" x14ac:dyDescent="0.25">
      <c r="A2232" s="1">
        <v>6470</v>
      </c>
      <c r="B2232" s="1">
        <v>-3353</v>
      </c>
      <c r="C2232" s="1">
        <v>4250</v>
      </c>
    </row>
    <row r="2233" spans="1:3" x14ac:dyDescent="0.25">
      <c r="A2233" s="1">
        <v>6684</v>
      </c>
      <c r="B2233" s="1">
        <v>-2903</v>
      </c>
      <c r="C2233" s="1">
        <v>4250</v>
      </c>
    </row>
    <row r="2234" spans="1:3" x14ac:dyDescent="0.25">
      <c r="A2234" s="1">
        <v>6867</v>
      </c>
      <c r="B2234" s="1">
        <v>-2438</v>
      </c>
      <c r="C2234" s="1">
        <v>4250</v>
      </c>
    </row>
    <row r="2235" spans="1:3" x14ac:dyDescent="0.25">
      <c r="A2235" s="1">
        <v>7077</v>
      </c>
      <c r="B2235" s="1">
        <v>-1741</v>
      </c>
      <c r="C2235" s="1">
        <v>4250</v>
      </c>
    </row>
    <row r="2236" spans="1:3" x14ac:dyDescent="0.25">
      <c r="A2236" s="1">
        <v>7181</v>
      </c>
      <c r="B2236" s="1">
        <v>-1238</v>
      </c>
      <c r="C2236" s="1">
        <v>4250</v>
      </c>
    </row>
    <row r="2237" spans="1:3" x14ac:dyDescent="0.25">
      <c r="A2237" s="1">
        <v>7249</v>
      </c>
      <c r="B2237">
        <f>0.745</f>
        <v>0.745</v>
      </c>
      <c r="C2237" s="1">
        <v>4250</v>
      </c>
    </row>
    <row r="2238" spans="1:3" x14ac:dyDescent="0.25">
      <c r="A2238" s="1">
        <v>7283</v>
      </c>
      <c r="B2238">
        <f>0.249</f>
        <v>0.249</v>
      </c>
      <c r="C2238" s="1">
        <v>4250</v>
      </c>
    </row>
    <row r="2239" spans="1:3" x14ac:dyDescent="0.25">
      <c r="A2239" s="1">
        <v>7283</v>
      </c>
      <c r="B2239">
        <v>0.249</v>
      </c>
      <c r="C2239" s="1">
        <v>4250</v>
      </c>
    </row>
    <row r="2240" spans="1:3" x14ac:dyDescent="0.25">
      <c r="A2240" s="1">
        <v>7249</v>
      </c>
      <c r="B2240">
        <v>0.745</v>
      </c>
      <c r="C2240" s="1">
        <v>4250</v>
      </c>
    </row>
    <row r="2241" spans="1:3" x14ac:dyDescent="0.25">
      <c r="A2241" s="1">
        <v>7181</v>
      </c>
      <c r="B2241" s="1">
        <v>1238</v>
      </c>
      <c r="C2241" s="1">
        <v>4250</v>
      </c>
    </row>
    <row r="2242" spans="1:3" x14ac:dyDescent="0.25">
      <c r="A2242" s="1">
        <v>7085</v>
      </c>
      <c r="B2242" s="1">
        <v>1703</v>
      </c>
      <c r="C2242" s="1">
        <v>4250</v>
      </c>
    </row>
    <row r="2243" spans="1:3" x14ac:dyDescent="0.25">
      <c r="A2243" s="1">
        <v>6858</v>
      </c>
      <c r="B2243" s="1">
        <v>2462</v>
      </c>
      <c r="C2243" s="1">
        <v>4250</v>
      </c>
    </row>
    <row r="2244" spans="1:3" x14ac:dyDescent="0.25">
      <c r="A2244" s="1">
        <v>6684</v>
      </c>
      <c r="B2244" s="1">
        <v>2903</v>
      </c>
      <c r="C2244" s="1">
        <v>4250</v>
      </c>
    </row>
    <row r="2245" spans="1:3" x14ac:dyDescent="0.25">
      <c r="A2245" s="1">
        <v>6480</v>
      </c>
      <c r="B2245" s="1">
        <v>3332</v>
      </c>
      <c r="C2245" s="1">
        <v>4250</v>
      </c>
    </row>
    <row r="2246" spans="1:3" x14ac:dyDescent="0.25">
      <c r="A2246" s="1">
        <v>6092</v>
      </c>
      <c r="B2246" s="1">
        <v>3996</v>
      </c>
      <c r="C2246" s="1">
        <v>4250</v>
      </c>
    </row>
    <row r="2247" spans="1:3" x14ac:dyDescent="0.25">
      <c r="A2247" s="1">
        <v>5651</v>
      </c>
      <c r="B2247" s="1">
        <v>4598</v>
      </c>
      <c r="C2247" s="1">
        <v>4250</v>
      </c>
    </row>
    <row r="2248" spans="1:3" x14ac:dyDescent="0.25">
      <c r="A2248" s="1">
        <v>5151</v>
      </c>
      <c r="B2248" s="1">
        <v>5151</v>
      </c>
      <c r="C2248" s="1">
        <v>4250</v>
      </c>
    </row>
    <row r="2249" spans="1:3" x14ac:dyDescent="0.25">
      <c r="A2249" s="1">
        <v>4598</v>
      </c>
      <c r="B2249" s="1">
        <v>5651</v>
      </c>
      <c r="C2249" s="1">
        <v>4250</v>
      </c>
    </row>
    <row r="2250" spans="1:3" x14ac:dyDescent="0.25">
      <c r="A2250" s="1">
        <v>3996</v>
      </c>
      <c r="B2250" s="1">
        <v>6092</v>
      </c>
      <c r="C2250" s="1">
        <v>4250</v>
      </c>
    </row>
    <row r="2251" spans="1:3" x14ac:dyDescent="0.25">
      <c r="A2251" s="1">
        <v>3352</v>
      </c>
      <c r="B2251" s="1">
        <v>6468</v>
      </c>
      <c r="C2251" s="1">
        <v>4250</v>
      </c>
    </row>
    <row r="2252" spans="1:3" x14ac:dyDescent="0.25">
      <c r="A2252" s="1">
        <v>2673</v>
      </c>
      <c r="B2252" s="1">
        <v>6777</v>
      </c>
      <c r="C2252" s="1">
        <v>4250</v>
      </c>
    </row>
    <row r="2253" spans="1:3" x14ac:dyDescent="0.25">
      <c r="A2253" s="1">
        <v>1966</v>
      </c>
      <c r="B2253" s="1">
        <v>7015</v>
      </c>
      <c r="C2253" s="1">
        <v>4250</v>
      </c>
    </row>
    <row r="2254" spans="1:3" x14ac:dyDescent="0.25">
      <c r="A2254" s="1">
        <v>1215</v>
      </c>
      <c r="B2254" s="1">
        <v>7184</v>
      </c>
      <c r="C2254" s="1">
        <v>4250</v>
      </c>
    </row>
    <row r="2255" spans="1:3" x14ac:dyDescent="0.25">
      <c r="A2255" t="s">
        <v>12</v>
      </c>
      <c r="B2255" s="1">
        <v>7249</v>
      </c>
      <c r="C2255" s="1">
        <v>4250</v>
      </c>
    </row>
    <row r="2256" spans="1:3" x14ac:dyDescent="0.25">
      <c r="A2256" t="s">
        <v>13</v>
      </c>
      <c r="B2256" s="1">
        <v>7283</v>
      </c>
      <c r="C2256" s="1">
        <v>4250</v>
      </c>
    </row>
    <row r="2257" spans="1:3" x14ac:dyDescent="0.25">
      <c r="A2257" s="1">
        <v>-7169</v>
      </c>
      <c r="B2257" s="1">
        <v>7287</v>
      </c>
      <c r="C2257" s="1">
        <v>4250</v>
      </c>
    </row>
    <row r="2258" spans="1:3" x14ac:dyDescent="0.25">
      <c r="A2258" s="1">
        <v>-8584</v>
      </c>
      <c r="B2258" s="1">
        <v>8584</v>
      </c>
      <c r="C2258" s="1">
        <v>4250</v>
      </c>
    </row>
    <row r="2259" spans="1:3" x14ac:dyDescent="0.25">
      <c r="A2259" s="1">
        <v>-8584</v>
      </c>
      <c r="B2259" s="1">
        <v>-8584</v>
      </c>
      <c r="C2259" s="1">
        <v>4250</v>
      </c>
    </row>
    <row r="2260" spans="1:3" x14ac:dyDescent="0.25">
      <c r="A2260" t="s">
        <v>76</v>
      </c>
      <c r="B2260" s="1">
        <v>-8580</v>
      </c>
      <c r="C2260" s="1">
        <v>4250</v>
      </c>
    </row>
    <row r="2261" spans="1:3" x14ac:dyDescent="0.25">
      <c r="A2261" s="1">
        <v>1169</v>
      </c>
      <c r="B2261" s="1">
        <v>-8504</v>
      </c>
      <c r="C2261" s="1">
        <v>4250</v>
      </c>
    </row>
    <row r="2262" spans="1:3" x14ac:dyDescent="0.25">
      <c r="A2262" s="1">
        <v>1746</v>
      </c>
      <c r="B2262" s="1">
        <v>-8404</v>
      </c>
      <c r="C2262" s="1">
        <v>4250</v>
      </c>
    </row>
    <row r="2263" spans="1:3" x14ac:dyDescent="0.25">
      <c r="A2263" s="1">
        <v>2316</v>
      </c>
      <c r="B2263" s="1">
        <v>-8265</v>
      </c>
      <c r="C2263" s="1">
        <v>4250</v>
      </c>
    </row>
    <row r="2264" spans="1:3" x14ac:dyDescent="0.25">
      <c r="A2264" s="1">
        <v>2876</v>
      </c>
      <c r="B2264" s="1">
        <v>-8088</v>
      </c>
      <c r="C2264" s="1">
        <v>4250</v>
      </c>
    </row>
    <row r="2265" spans="1:3" x14ac:dyDescent="0.25">
      <c r="A2265" s="1">
        <v>3679</v>
      </c>
      <c r="B2265" s="1">
        <v>-7755</v>
      </c>
      <c r="C2265" s="1">
        <v>4250</v>
      </c>
    </row>
    <row r="2266" spans="1:3" x14ac:dyDescent="0.25">
      <c r="A2266" s="1">
        <v>4196</v>
      </c>
      <c r="B2266" s="1">
        <v>-7488</v>
      </c>
      <c r="C2266" s="1">
        <v>4250</v>
      </c>
    </row>
    <row r="2267" spans="1:3" x14ac:dyDescent="0.25">
      <c r="A2267" s="1">
        <v>4960</v>
      </c>
      <c r="B2267" s="1">
        <v>-7005</v>
      </c>
      <c r="C2267" s="1">
        <v>4250</v>
      </c>
    </row>
    <row r="2268" spans="1:3" x14ac:dyDescent="0.25">
      <c r="A2268" s="1">
        <v>5417</v>
      </c>
      <c r="B2268" s="1">
        <v>-6658</v>
      </c>
      <c r="C2268" s="1">
        <v>4250</v>
      </c>
    </row>
    <row r="2269" spans="1:3" x14ac:dyDescent="0.25">
      <c r="A2269" s="1">
        <v>5859</v>
      </c>
      <c r="B2269" s="1">
        <v>-6273</v>
      </c>
      <c r="C2269" s="1">
        <v>4250</v>
      </c>
    </row>
    <row r="2270" spans="1:3" x14ac:dyDescent="0.25">
      <c r="A2270" s="1">
        <v>6273</v>
      </c>
      <c r="B2270" s="1">
        <v>-5859</v>
      </c>
      <c r="C2270" s="1">
        <v>4250</v>
      </c>
    </row>
    <row r="2271" spans="1:3" x14ac:dyDescent="0.25">
      <c r="A2271" s="1">
        <v>6658</v>
      </c>
      <c r="B2271" s="1">
        <v>-5417</v>
      </c>
      <c r="C2271" s="1">
        <v>4250</v>
      </c>
    </row>
    <row r="2272" spans="1:3" x14ac:dyDescent="0.25">
      <c r="A2272" s="1">
        <v>7013</v>
      </c>
      <c r="B2272" s="1">
        <v>-4950</v>
      </c>
      <c r="C2272" s="1">
        <v>4250</v>
      </c>
    </row>
    <row r="2273" spans="1:3" x14ac:dyDescent="0.25">
      <c r="A2273" s="1">
        <v>7334</v>
      </c>
      <c r="B2273" s="1">
        <v>-4460</v>
      </c>
      <c r="C2273" s="1">
        <v>4250</v>
      </c>
    </row>
    <row r="2274" spans="1:3" x14ac:dyDescent="0.25">
      <c r="A2274" s="1">
        <v>7621</v>
      </c>
      <c r="B2274" s="1">
        <v>-3949</v>
      </c>
      <c r="C2274" s="1">
        <v>4250</v>
      </c>
    </row>
    <row r="2275" spans="1:3" x14ac:dyDescent="0.25">
      <c r="A2275" s="1">
        <v>7873</v>
      </c>
      <c r="B2275" s="1">
        <v>-3420</v>
      </c>
      <c r="C2275" s="1">
        <v>4250</v>
      </c>
    </row>
    <row r="2276" spans="1:3" x14ac:dyDescent="0.25">
      <c r="A2276" s="1">
        <v>8088</v>
      </c>
      <c r="B2276" s="1">
        <v>-2873</v>
      </c>
      <c r="C2276" s="1">
        <v>4250</v>
      </c>
    </row>
    <row r="2277" spans="1:3" x14ac:dyDescent="0.25">
      <c r="A2277" s="1">
        <v>8338</v>
      </c>
      <c r="B2277" s="1">
        <v>-2041</v>
      </c>
      <c r="C2277" s="1">
        <v>4250</v>
      </c>
    </row>
    <row r="2278" spans="1:3" x14ac:dyDescent="0.25">
      <c r="A2278" s="1">
        <v>8459</v>
      </c>
      <c r="B2278" s="1">
        <v>-1458</v>
      </c>
      <c r="C2278" s="1">
        <v>4250</v>
      </c>
    </row>
    <row r="2279" spans="1:3" x14ac:dyDescent="0.25">
      <c r="A2279" s="1">
        <v>8539</v>
      </c>
      <c r="B2279">
        <f>0.878</f>
        <v>0.878</v>
      </c>
      <c r="C2279" s="1">
        <v>4250</v>
      </c>
    </row>
    <row r="2280" spans="1:3" x14ac:dyDescent="0.25">
      <c r="A2280" s="1">
        <v>8579</v>
      </c>
      <c r="B2280">
        <f>0.293</f>
        <v>0.29299999999999998</v>
      </c>
      <c r="C2280" s="1">
        <v>4250</v>
      </c>
    </row>
    <row r="2281" spans="1:3" x14ac:dyDescent="0.25">
      <c r="A2281" s="1">
        <v>8579</v>
      </c>
      <c r="B2281">
        <v>0.29299999999999998</v>
      </c>
      <c r="C2281" s="1">
        <v>4250</v>
      </c>
    </row>
    <row r="2282" spans="1:3" x14ac:dyDescent="0.25">
      <c r="A2282" s="1">
        <v>8539</v>
      </c>
      <c r="B2282">
        <v>0.878</v>
      </c>
      <c r="C2282" s="1">
        <v>4250</v>
      </c>
    </row>
    <row r="2283" spans="1:3" x14ac:dyDescent="0.25">
      <c r="A2283" s="1">
        <v>8459</v>
      </c>
      <c r="B2283" s="1">
        <v>1458</v>
      </c>
      <c r="C2283" s="1">
        <v>4250</v>
      </c>
    </row>
    <row r="2284" spans="1:3" x14ac:dyDescent="0.25">
      <c r="A2284" s="1">
        <v>8342</v>
      </c>
      <c r="B2284" s="1">
        <v>2020</v>
      </c>
      <c r="C2284" s="1">
        <v>4250</v>
      </c>
    </row>
    <row r="2285" spans="1:3" x14ac:dyDescent="0.25">
      <c r="A2285" s="1">
        <v>8084</v>
      </c>
      <c r="B2285" s="1">
        <v>2886</v>
      </c>
      <c r="C2285" s="1">
        <v>4250</v>
      </c>
    </row>
    <row r="2286" spans="1:3" x14ac:dyDescent="0.25">
      <c r="A2286" s="1">
        <v>7873</v>
      </c>
      <c r="B2286" s="1">
        <v>3420</v>
      </c>
      <c r="C2286" s="1">
        <v>4250</v>
      </c>
    </row>
    <row r="2287" spans="1:3" x14ac:dyDescent="0.25">
      <c r="A2287" s="1">
        <v>7626</v>
      </c>
      <c r="B2287" s="1">
        <v>3938</v>
      </c>
      <c r="C2287" s="1">
        <v>4250</v>
      </c>
    </row>
    <row r="2288" spans="1:3" x14ac:dyDescent="0.25">
      <c r="A2288" s="1">
        <v>7177</v>
      </c>
      <c r="B2288" s="1">
        <v>4707</v>
      </c>
      <c r="C2288" s="1">
        <v>4250</v>
      </c>
    </row>
    <row r="2289" spans="1:3" x14ac:dyDescent="0.25">
      <c r="A2289" s="1">
        <v>6658</v>
      </c>
      <c r="B2289" s="1">
        <v>5416</v>
      </c>
      <c r="C2289" s="1">
        <v>4250</v>
      </c>
    </row>
    <row r="2290" spans="1:3" x14ac:dyDescent="0.25">
      <c r="A2290" s="1">
        <v>6069</v>
      </c>
      <c r="B2290" s="1">
        <v>6069</v>
      </c>
      <c r="C2290" s="1">
        <v>4250</v>
      </c>
    </row>
    <row r="2291" spans="1:3" x14ac:dyDescent="0.25">
      <c r="A2291" s="1">
        <v>5416</v>
      </c>
      <c r="B2291" s="1">
        <v>6658</v>
      </c>
      <c r="C2291" s="1">
        <v>4250</v>
      </c>
    </row>
    <row r="2292" spans="1:3" x14ac:dyDescent="0.25">
      <c r="A2292" s="1">
        <v>4707</v>
      </c>
      <c r="B2292" s="1">
        <v>7177</v>
      </c>
      <c r="C2292" s="1">
        <v>4250</v>
      </c>
    </row>
    <row r="2293" spans="1:3" x14ac:dyDescent="0.25">
      <c r="A2293" s="1">
        <v>3949</v>
      </c>
      <c r="B2293" s="1">
        <v>7620</v>
      </c>
      <c r="C2293" s="1">
        <v>4250</v>
      </c>
    </row>
    <row r="2294" spans="1:3" x14ac:dyDescent="0.25">
      <c r="A2294" s="1">
        <v>3149</v>
      </c>
      <c r="B2294" s="1">
        <v>7984</v>
      </c>
      <c r="C2294" s="1">
        <v>4250</v>
      </c>
    </row>
    <row r="2295" spans="1:3" x14ac:dyDescent="0.25">
      <c r="A2295" s="1">
        <v>2316</v>
      </c>
      <c r="B2295" s="1">
        <v>8264</v>
      </c>
      <c r="C2295" s="1">
        <v>4250</v>
      </c>
    </row>
    <row r="2296" spans="1:3" x14ac:dyDescent="0.25">
      <c r="A2296" s="1">
        <v>1446</v>
      </c>
      <c r="B2296" s="1">
        <v>8460</v>
      </c>
      <c r="C2296" s="1">
        <v>4250</v>
      </c>
    </row>
    <row r="2297" spans="1:3" x14ac:dyDescent="0.25">
      <c r="A2297" t="s">
        <v>15</v>
      </c>
      <c r="B2297" s="1">
        <v>8539</v>
      </c>
      <c r="C2297" s="1">
        <v>4250</v>
      </c>
    </row>
    <row r="2298" spans="1:3" x14ac:dyDescent="0.25">
      <c r="A2298" t="s">
        <v>14</v>
      </c>
      <c r="B2298" s="1">
        <v>8579</v>
      </c>
      <c r="C2298" s="1">
        <v>4250</v>
      </c>
    </row>
    <row r="2299" spans="1:3" x14ac:dyDescent="0.25">
      <c r="A2299" s="1">
        <v>-8464</v>
      </c>
      <c r="B2299" s="1">
        <v>8584</v>
      </c>
      <c r="C2299" s="1">
        <v>4250</v>
      </c>
    </row>
    <row r="2300" spans="1:3" x14ac:dyDescent="0.25">
      <c r="A2300" s="1">
        <v>-9600</v>
      </c>
      <c r="B2300" s="1">
        <v>9600</v>
      </c>
      <c r="C2300" s="1">
        <v>4250</v>
      </c>
    </row>
    <row r="2301" spans="1:3" x14ac:dyDescent="0.25">
      <c r="A2301" s="1">
        <v>-9600</v>
      </c>
      <c r="B2301" s="1">
        <v>-9600</v>
      </c>
      <c r="C2301" s="1">
        <v>4250</v>
      </c>
    </row>
    <row r="2302" spans="1:3" x14ac:dyDescent="0.25">
      <c r="A2302" t="s">
        <v>77</v>
      </c>
      <c r="B2302" s="1">
        <v>-9595</v>
      </c>
      <c r="C2302" s="1">
        <v>4250</v>
      </c>
    </row>
    <row r="2303" spans="1:3" x14ac:dyDescent="0.25">
      <c r="A2303" t="s">
        <v>66</v>
      </c>
      <c r="B2303" s="1">
        <v>-9578</v>
      </c>
      <c r="C2303" s="1">
        <v>4250</v>
      </c>
    </row>
    <row r="2304" spans="1:3" x14ac:dyDescent="0.25">
      <c r="A2304" s="1">
        <v>1307</v>
      </c>
      <c r="B2304" s="1">
        <v>-9510</v>
      </c>
      <c r="C2304" s="1">
        <v>4250</v>
      </c>
    </row>
    <row r="2305" spans="1:3" x14ac:dyDescent="0.25">
      <c r="A2305" s="1">
        <v>1953</v>
      </c>
      <c r="B2305" s="1">
        <v>-9399</v>
      </c>
      <c r="C2305" s="1">
        <v>4250</v>
      </c>
    </row>
    <row r="2306" spans="1:3" x14ac:dyDescent="0.25">
      <c r="A2306" s="1">
        <v>2590</v>
      </c>
      <c r="B2306" s="1">
        <v>-9244</v>
      </c>
      <c r="C2306" s="1">
        <v>4250</v>
      </c>
    </row>
    <row r="2307" spans="1:3" x14ac:dyDescent="0.25">
      <c r="A2307" s="1">
        <v>3215</v>
      </c>
      <c r="B2307" s="1">
        <v>-9045</v>
      </c>
      <c r="C2307" s="1">
        <v>4250</v>
      </c>
    </row>
    <row r="2308" spans="1:3" x14ac:dyDescent="0.25">
      <c r="A2308" s="1">
        <v>4121</v>
      </c>
      <c r="B2308" s="1">
        <v>-8670</v>
      </c>
      <c r="C2308" s="1">
        <v>4250</v>
      </c>
    </row>
    <row r="2309" spans="1:3" x14ac:dyDescent="0.25">
      <c r="A2309" s="1">
        <v>4702</v>
      </c>
      <c r="B2309" s="1">
        <v>-8369</v>
      </c>
      <c r="C2309" s="1">
        <v>4250</v>
      </c>
    </row>
    <row r="2310" spans="1:3" x14ac:dyDescent="0.25">
      <c r="A2310" s="1">
        <v>5539</v>
      </c>
      <c r="B2310" s="1">
        <v>-7841</v>
      </c>
      <c r="C2310" s="1">
        <v>4250</v>
      </c>
    </row>
    <row r="2311" spans="1:3" x14ac:dyDescent="0.25">
      <c r="A2311" s="1">
        <v>6058</v>
      </c>
      <c r="B2311" s="1">
        <v>-7447</v>
      </c>
      <c r="C2311" s="1">
        <v>4250</v>
      </c>
    </row>
    <row r="2312" spans="1:3" x14ac:dyDescent="0.25">
      <c r="A2312" s="1">
        <v>6552</v>
      </c>
      <c r="B2312" s="1">
        <v>-7016</v>
      </c>
      <c r="C2312" s="1">
        <v>4250</v>
      </c>
    </row>
    <row r="2313" spans="1:3" x14ac:dyDescent="0.25">
      <c r="A2313" s="1">
        <v>7016</v>
      </c>
      <c r="B2313" s="1">
        <v>-6552</v>
      </c>
      <c r="C2313" s="1">
        <v>4250</v>
      </c>
    </row>
    <row r="2314" spans="1:3" x14ac:dyDescent="0.25">
      <c r="A2314" s="1">
        <v>7447</v>
      </c>
      <c r="B2314" s="1">
        <v>-6058</v>
      </c>
      <c r="C2314" s="1">
        <v>4250</v>
      </c>
    </row>
    <row r="2315" spans="1:3" x14ac:dyDescent="0.25">
      <c r="A2315" s="1">
        <v>7843</v>
      </c>
      <c r="B2315" s="1">
        <v>-5536</v>
      </c>
      <c r="C2315" s="1">
        <v>4250</v>
      </c>
    </row>
    <row r="2316" spans="1:3" x14ac:dyDescent="0.25">
      <c r="A2316" s="1">
        <v>8202</v>
      </c>
      <c r="B2316" s="1">
        <v>-4988</v>
      </c>
      <c r="C2316" s="1">
        <v>4250</v>
      </c>
    </row>
    <row r="2317" spans="1:3" x14ac:dyDescent="0.25">
      <c r="A2317" s="1">
        <v>8523</v>
      </c>
      <c r="B2317" s="1">
        <v>-4417</v>
      </c>
      <c r="C2317" s="1">
        <v>4250</v>
      </c>
    </row>
    <row r="2318" spans="1:3" x14ac:dyDescent="0.25">
      <c r="A2318" s="1">
        <v>8805</v>
      </c>
      <c r="B2318" s="1">
        <v>-3825</v>
      </c>
      <c r="C2318" s="1">
        <v>4250</v>
      </c>
    </row>
    <row r="2319" spans="1:3" x14ac:dyDescent="0.25">
      <c r="A2319" s="1">
        <v>9046</v>
      </c>
      <c r="B2319" s="1">
        <v>-3214</v>
      </c>
      <c r="C2319" s="1">
        <v>4250</v>
      </c>
    </row>
    <row r="2320" spans="1:3" x14ac:dyDescent="0.25">
      <c r="A2320" s="1">
        <v>9326</v>
      </c>
      <c r="B2320" s="1">
        <v>-2275</v>
      </c>
      <c r="C2320" s="1">
        <v>4250</v>
      </c>
    </row>
    <row r="2321" spans="1:3" x14ac:dyDescent="0.25">
      <c r="A2321" s="1">
        <v>9460</v>
      </c>
      <c r="B2321" s="1">
        <v>-1631</v>
      </c>
      <c r="C2321" s="1">
        <v>4250</v>
      </c>
    </row>
    <row r="2322" spans="1:3" x14ac:dyDescent="0.25">
      <c r="A2322" s="1">
        <v>9549</v>
      </c>
      <c r="B2322">
        <f>0.982</f>
        <v>0.98199999999999998</v>
      </c>
      <c r="C2322" s="1">
        <v>4250</v>
      </c>
    </row>
    <row r="2323" spans="1:3" x14ac:dyDescent="0.25">
      <c r="A2323" s="1">
        <v>9594</v>
      </c>
      <c r="B2323">
        <f>0.328</f>
        <v>0.32800000000000001</v>
      </c>
      <c r="C2323" s="1">
        <v>4250</v>
      </c>
    </row>
    <row r="2324" spans="1:3" x14ac:dyDescent="0.25">
      <c r="A2324" s="1">
        <v>9594</v>
      </c>
      <c r="B2324">
        <v>0.32800000000000001</v>
      </c>
      <c r="C2324" s="1">
        <v>4250</v>
      </c>
    </row>
    <row r="2325" spans="1:3" x14ac:dyDescent="0.25">
      <c r="A2325" s="1">
        <v>9549</v>
      </c>
      <c r="B2325">
        <v>0.98199999999999998</v>
      </c>
      <c r="C2325" s="1">
        <v>4250</v>
      </c>
    </row>
    <row r="2326" spans="1:3" x14ac:dyDescent="0.25">
      <c r="A2326" s="1">
        <v>9460</v>
      </c>
      <c r="B2326" s="1">
        <v>1631</v>
      </c>
      <c r="C2326" s="1">
        <v>4250</v>
      </c>
    </row>
    <row r="2327" spans="1:3" x14ac:dyDescent="0.25">
      <c r="A2327" s="1">
        <v>9328</v>
      </c>
      <c r="B2327" s="1">
        <v>2270</v>
      </c>
      <c r="C2327" s="1">
        <v>4250</v>
      </c>
    </row>
    <row r="2328" spans="1:3" x14ac:dyDescent="0.25">
      <c r="A2328" s="1">
        <v>9044</v>
      </c>
      <c r="B2328" s="1">
        <v>3218</v>
      </c>
      <c r="C2328" s="1">
        <v>4250</v>
      </c>
    </row>
    <row r="2329" spans="1:3" x14ac:dyDescent="0.25">
      <c r="A2329" s="1">
        <v>8805</v>
      </c>
      <c r="B2329" s="1">
        <v>3825</v>
      </c>
      <c r="C2329" s="1">
        <v>4250</v>
      </c>
    </row>
    <row r="2330" spans="1:3" x14ac:dyDescent="0.25">
      <c r="A2330" s="1">
        <v>8525</v>
      </c>
      <c r="B2330" s="1">
        <v>4413</v>
      </c>
      <c r="C2330" s="1">
        <v>4250</v>
      </c>
    </row>
    <row r="2331" spans="1:3" x14ac:dyDescent="0.25">
      <c r="A2331" s="1">
        <v>8027</v>
      </c>
      <c r="B2331" s="1">
        <v>5265</v>
      </c>
      <c r="C2331" s="1">
        <v>4250</v>
      </c>
    </row>
    <row r="2332" spans="1:3" x14ac:dyDescent="0.25">
      <c r="A2332" s="1">
        <v>7446</v>
      </c>
      <c r="B2332" s="1">
        <v>6058</v>
      </c>
      <c r="C2332" s="1">
        <v>4250</v>
      </c>
    </row>
    <row r="2333" spans="1:3" x14ac:dyDescent="0.25">
      <c r="A2333" s="1">
        <v>6788</v>
      </c>
      <c r="B2333" s="1">
        <v>6788</v>
      </c>
      <c r="C2333" s="1">
        <v>4250</v>
      </c>
    </row>
    <row r="2334" spans="1:3" x14ac:dyDescent="0.25">
      <c r="A2334" s="1">
        <v>6058</v>
      </c>
      <c r="B2334" s="1">
        <v>7446</v>
      </c>
      <c r="C2334" s="1">
        <v>4250</v>
      </c>
    </row>
    <row r="2335" spans="1:3" x14ac:dyDescent="0.25">
      <c r="A2335" s="1">
        <v>5265</v>
      </c>
      <c r="B2335" s="1">
        <v>8027</v>
      </c>
      <c r="C2335" s="1">
        <v>4250</v>
      </c>
    </row>
    <row r="2336" spans="1:3" x14ac:dyDescent="0.25">
      <c r="A2336" s="1">
        <v>4416</v>
      </c>
      <c r="B2336" s="1">
        <v>8523</v>
      </c>
      <c r="C2336" s="1">
        <v>4250</v>
      </c>
    </row>
    <row r="2337" spans="1:3" x14ac:dyDescent="0.25">
      <c r="A2337" s="1">
        <v>3522</v>
      </c>
      <c r="B2337" s="1">
        <v>8930</v>
      </c>
      <c r="C2337" s="1">
        <v>4250</v>
      </c>
    </row>
    <row r="2338" spans="1:3" x14ac:dyDescent="0.25">
      <c r="A2338" s="1">
        <v>2590</v>
      </c>
      <c r="B2338" s="1">
        <v>9243</v>
      </c>
      <c r="C2338" s="1">
        <v>4250</v>
      </c>
    </row>
    <row r="2339" spans="1:3" x14ac:dyDescent="0.25">
      <c r="A2339" s="1">
        <v>1628</v>
      </c>
      <c r="B2339" s="1">
        <v>9461</v>
      </c>
      <c r="C2339" s="1">
        <v>4250</v>
      </c>
    </row>
    <row r="2340" spans="1:3" x14ac:dyDescent="0.25">
      <c r="A2340" t="s">
        <v>18</v>
      </c>
      <c r="B2340" s="1">
        <v>9549</v>
      </c>
      <c r="C2340" s="1">
        <v>4250</v>
      </c>
    </row>
    <row r="2341" spans="1:3" x14ac:dyDescent="0.25">
      <c r="A2341" t="s">
        <v>17</v>
      </c>
      <c r="B2341" s="1">
        <v>9594</v>
      </c>
      <c r="C2341" s="1">
        <v>4250</v>
      </c>
    </row>
    <row r="2342" spans="1:3" x14ac:dyDescent="0.25">
      <c r="A2342" s="1">
        <v>-9480</v>
      </c>
      <c r="B2342" s="1">
        <v>9600</v>
      </c>
      <c r="C2342" s="1">
        <v>4250</v>
      </c>
    </row>
    <row r="2343" spans="1:3" x14ac:dyDescent="0.25">
      <c r="A2343" s="1">
        <v>-9201</v>
      </c>
      <c r="B2343" s="1">
        <v>8906</v>
      </c>
      <c r="C2343" s="1">
        <v>4250</v>
      </c>
    </row>
    <row r="2344" spans="1:3" x14ac:dyDescent="0.25">
      <c r="A2344" s="1">
        <v>-1765</v>
      </c>
      <c r="B2344" s="1">
        <v>6588</v>
      </c>
      <c r="C2344" s="1">
        <v>4250</v>
      </c>
    </row>
    <row r="2345" spans="1:3" x14ac:dyDescent="0.25">
      <c r="A2345" s="1">
        <v>1712</v>
      </c>
      <c r="B2345" s="1">
        <v>-6391</v>
      </c>
      <c r="C2345" s="1">
        <v>4250</v>
      </c>
    </row>
    <row r="2346" spans="1:3" x14ac:dyDescent="0.25">
      <c r="A2346" s="1">
        <v>3522</v>
      </c>
      <c r="B2346" s="1">
        <v>3522</v>
      </c>
      <c r="C2346" s="1">
        <v>4250</v>
      </c>
    </row>
    <row r="2347" spans="1:3" x14ac:dyDescent="0.25">
      <c r="A2347" s="1">
        <v>3920</v>
      </c>
      <c r="B2347" s="1">
        <v>3081</v>
      </c>
      <c r="C2347" s="1">
        <v>4250</v>
      </c>
    </row>
    <row r="2348" spans="1:3" x14ac:dyDescent="0.25">
      <c r="A2348" s="1">
        <v>4270</v>
      </c>
      <c r="B2348" s="1">
        <v>2602</v>
      </c>
      <c r="C2348" s="1">
        <v>4250</v>
      </c>
    </row>
    <row r="2349" spans="1:3" x14ac:dyDescent="0.25">
      <c r="A2349" s="1">
        <v>4588</v>
      </c>
      <c r="B2349" s="1">
        <v>2059</v>
      </c>
      <c r="C2349" s="1">
        <v>4250</v>
      </c>
    </row>
    <row r="2350" spans="1:3" x14ac:dyDescent="0.25">
      <c r="A2350" s="1">
        <v>4743</v>
      </c>
      <c r="B2350" s="1">
        <v>1733</v>
      </c>
      <c r="C2350" s="1">
        <v>4250</v>
      </c>
    </row>
    <row r="2351" spans="1:3" x14ac:dyDescent="0.25">
      <c r="A2351" s="1">
        <v>4875</v>
      </c>
      <c r="B2351" s="1">
        <v>1398</v>
      </c>
      <c r="C2351" s="1">
        <v>4250</v>
      </c>
    </row>
    <row r="2352" spans="1:3" x14ac:dyDescent="0.25">
      <c r="A2352" s="1">
        <v>5065</v>
      </c>
      <c r="B2352">
        <v>0.76100000000000001</v>
      </c>
      <c r="C2352" s="1">
        <v>4250</v>
      </c>
    </row>
    <row r="2353" spans="1:3" x14ac:dyDescent="0.25">
      <c r="A2353" s="1">
        <v>5139</v>
      </c>
      <c r="B2353">
        <v>0.40799999999999997</v>
      </c>
      <c r="C2353" s="1">
        <v>4250</v>
      </c>
    </row>
    <row r="2354" spans="1:3" x14ac:dyDescent="0.25">
      <c r="A2354" s="1">
        <v>5193</v>
      </c>
      <c r="B2354">
        <v>1.4999999999999999E-2</v>
      </c>
      <c r="C2354" s="1">
        <v>4250</v>
      </c>
    </row>
    <row r="2355" spans="1:3" x14ac:dyDescent="0.25">
      <c r="A2355" s="1">
        <v>5220</v>
      </c>
      <c r="B2355">
        <f>0.38</f>
        <v>0.38</v>
      </c>
      <c r="C2355" s="1">
        <v>4250</v>
      </c>
    </row>
    <row r="2356" spans="1:3" x14ac:dyDescent="0.25">
      <c r="A2356" s="1">
        <v>5220</v>
      </c>
      <c r="B2356">
        <f>0.776</f>
        <v>0.77600000000000002</v>
      </c>
      <c r="C2356" s="1">
        <v>4250</v>
      </c>
    </row>
    <row r="2357" spans="1:3" x14ac:dyDescent="0.25">
      <c r="A2357" s="1">
        <v>5193</v>
      </c>
      <c r="B2357" s="1">
        <v>-1171</v>
      </c>
      <c r="C2357" s="1">
        <v>4250</v>
      </c>
    </row>
    <row r="2358" spans="1:3" x14ac:dyDescent="0.25">
      <c r="A2358" s="1">
        <v>5141</v>
      </c>
      <c r="B2358" s="1">
        <v>-1549</v>
      </c>
      <c r="C2358" s="1">
        <v>4250</v>
      </c>
    </row>
    <row r="2359" spans="1:3" x14ac:dyDescent="0.25">
      <c r="A2359" s="1">
        <v>4997</v>
      </c>
      <c r="B2359" s="1">
        <v>-2180</v>
      </c>
      <c r="C2359" s="1">
        <v>4250</v>
      </c>
    </row>
    <row r="2360" spans="1:3" x14ac:dyDescent="0.25">
      <c r="A2360" s="1">
        <v>4743</v>
      </c>
      <c r="B2360" s="1">
        <v>-2889</v>
      </c>
      <c r="C2360" s="1">
        <v>4250</v>
      </c>
    </row>
    <row r="2361" spans="1:3" x14ac:dyDescent="0.25">
      <c r="A2361" s="1">
        <v>4573</v>
      </c>
      <c r="B2361" s="1">
        <v>-3246</v>
      </c>
      <c r="C2361" s="1">
        <v>4250</v>
      </c>
    </row>
    <row r="2362" spans="1:3" x14ac:dyDescent="0.25">
      <c r="A2362" s="1">
        <v>4379</v>
      </c>
      <c r="B2362" s="1">
        <v>-3592</v>
      </c>
      <c r="C2362" s="1">
        <v>4250</v>
      </c>
    </row>
    <row r="2363" spans="1:3" x14ac:dyDescent="0.25">
      <c r="A2363" s="1">
        <v>4161</v>
      </c>
      <c r="B2363" s="1">
        <v>-3923</v>
      </c>
      <c r="C2363" s="1">
        <v>4250</v>
      </c>
    </row>
    <row r="2364" spans="1:3" x14ac:dyDescent="0.25">
      <c r="A2364" s="1">
        <v>3922</v>
      </c>
      <c r="B2364" s="1">
        <v>-4239</v>
      </c>
      <c r="C2364" s="1">
        <v>4250</v>
      </c>
    </row>
    <row r="2365" spans="1:3" x14ac:dyDescent="0.25">
      <c r="A2365" s="1">
        <v>3662</v>
      </c>
      <c r="B2365" s="1">
        <v>-4537</v>
      </c>
      <c r="C2365" s="1">
        <v>4250</v>
      </c>
    </row>
    <row r="2366" spans="1:3" x14ac:dyDescent="0.25">
      <c r="A2366" s="1">
        <v>3382</v>
      </c>
      <c r="B2366" s="1">
        <v>-4817</v>
      </c>
      <c r="C2366" s="1">
        <v>4250</v>
      </c>
    </row>
    <row r="2367" spans="1:3" x14ac:dyDescent="0.25">
      <c r="A2367" s="1">
        <v>3083</v>
      </c>
      <c r="B2367" s="1">
        <v>-5077</v>
      </c>
      <c r="C2367" s="1">
        <v>4250</v>
      </c>
    </row>
    <row r="2368" spans="1:3" x14ac:dyDescent="0.25">
      <c r="A2368" s="1">
        <v>2796</v>
      </c>
      <c r="B2368" s="1">
        <v>-5295</v>
      </c>
      <c r="C2368" s="1">
        <v>4250</v>
      </c>
    </row>
    <row r="2369" spans="1:3" x14ac:dyDescent="0.25">
      <c r="A2369" s="1">
        <v>2246</v>
      </c>
      <c r="B2369" s="1">
        <v>-5643</v>
      </c>
      <c r="C2369" s="1">
        <v>4250</v>
      </c>
    </row>
    <row r="2370" spans="1:3" x14ac:dyDescent="0.25">
      <c r="A2370" s="1">
        <v>1698</v>
      </c>
      <c r="B2370" s="1">
        <v>-5913</v>
      </c>
      <c r="C2370" s="1">
        <v>4250</v>
      </c>
    </row>
    <row r="2371" spans="1:3" x14ac:dyDescent="0.25">
      <c r="A2371" s="1">
        <v>1368</v>
      </c>
      <c r="B2371" s="1">
        <v>-6043</v>
      </c>
      <c r="C2371" s="1">
        <v>4250</v>
      </c>
    </row>
    <row r="2372" spans="1:3" x14ac:dyDescent="0.25">
      <c r="A2372" t="s">
        <v>9</v>
      </c>
      <c r="B2372" s="1">
        <v>-6163</v>
      </c>
      <c r="C2372" s="1">
        <v>4250</v>
      </c>
    </row>
    <row r="2373" spans="1:3" x14ac:dyDescent="0.25">
      <c r="A2373" t="s">
        <v>33</v>
      </c>
      <c r="B2373" s="1">
        <v>-6257</v>
      </c>
      <c r="C2373" s="1">
        <v>4250</v>
      </c>
    </row>
    <row r="2374" spans="1:3" x14ac:dyDescent="0.25">
      <c r="A2374" t="s">
        <v>78</v>
      </c>
      <c r="B2374" s="1">
        <v>-6322</v>
      </c>
      <c r="C2374" s="1">
        <v>4250</v>
      </c>
    </row>
    <row r="2375" spans="1:3" x14ac:dyDescent="0.25">
      <c r="A2375" t="e" vm="14">
        <f>_FV(0,"423")</f>
        <v>#VALUE!</v>
      </c>
      <c r="B2375" s="1">
        <v>-6376</v>
      </c>
      <c r="C2375" s="1">
        <v>4250</v>
      </c>
    </row>
    <row r="2376" spans="1:3" x14ac:dyDescent="0.25">
      <c r="A2376" s="1">
        <v>-6379</v>
      </c>
      <c r="B2376" s="1">
        <v>-6379</v>
      </c>
      <c r="C2376" s="1">
        <v>4250</v>
      </c>
    </row>
    <row r="2377" spans="1:3" x14ac:dyDescent="0.25">
      <c r="A2377" s="1">
        <v>4677</v>
      </c>
      <c r="B2377" s="1">
        <v>4677</v>
      </c>
      <c r="C2377" s="1">
        <v>4250</v>
      </c>
    </row>
    <row r="2378" spans="1:3" x14ac:dyDescent="0.25">
      <c r="A2378" s="1">
        <v>4677</v>
      </c>
      <c r="B2378" s="1">
        <v>4677</v>
      </c>
      <c r="C2378" s="1">
        <v>4550</v>
      </c>
    </row>
    <row r="2379" spans="1:3" x14ac:dyDescent="0.25">
      <c r="A2379" s="1">
        <v>-7289</v>
      </c>
      <c r="B2379" s="1">
        <v>7287</v>
      </c>
      <c r="C2379" s="1">
        <v>4550</v>
      </c>
    </row>
    <row r="2380" spans="1:3" x14ac:dyDescent="0.25">
      <c r="A2380" s="1">
        <v>-7289</v>
      </c>
      <c r="B2380" s="1">
        <v>-7287</v>
      </c>
      <c r="C2380" s="1">
        <v>4550</v>
      </c>
    </row>
    <row r="2381" spans="1:3" x14ac:dyDescent="0.25">
      <c r="A2381" t="s">
        <v>79</v>
      </c>
      <c r="B2381" s="1">
        <v>-7284</v>
      </c>
      <c r="C2381" s="1">
        <v>4550</v>
      </c>
    </row>
    <row r="2382" spans="1:3" x14ac:dyDescent="0.25">
      <c r="A2382" t="s">
        <v>11</v>
      </c>
      <c r="B2382" s="1">
        <v>-7219</v>
      </c>
      <c r="C2382" s="1">
        <v>4550</v>
      </c>
    </row>
    <row r="2383" spans="1:3" x14ac:dyDescent="0.25">
      <c r="A2383" s="1">
        <v>1483</v>
      </c>
      <c r="B2383" s="1">
        <v>-7135</v>
      </c>
      <c r="C2383" s="1">
        <v>4550</v>
      </c>
    </row>
    <row r="2384" spans="1:3" x14ac:dyDescent="0.25">
      <c r="A2384" s="1">
        <v>1966</v>
      </c>
      <c r="B2384" s="1">
        <v>-7017</v>
      </c>
      <c r="C2384" s="1">
        <v>4550</v>
      </c>
    </row>
    <row r="2385" spans="1:3" x14ac:dyDescent="0.25">
      <c r="A2385" s="1">
        <v>2442</v>
      </c>
      <c r="B2385" s="1">
        <v>-6866</v>
      </c>
      <c r="C2385" s="1">
        <v>4550</v>
      </c>
    </row>
    <row r="2386" spans="1:3" x14ac:dyDescent="0.25">
      <c r="A2386" s="1">
        <v>3114</v>
      </c>
      <c r="B2386" s="1">
        <v>-6589</v>
      </c>
      <c r="C2386" s="1">
        <v>4550</v>
      </c>
    </row>
    <row r="2387" spans="1:3" x14ac:dyDescent="0.25">
      <c r="A2387" s="1">
        <v>3572</v>
      </c>
      <c r="B2387" s="1">
        <v>-6352</v>
      </c>
      <c r="C2387" s="1">
        <v>4550</v>
      </c>
    </row>
    <row r="2388" spans="1:3" x14ac:dyDescent="0.25">
      <c r="A2388" s="1">
        <v>3997</v>
      </c>
      <c r="B2388" s="1">
        <v>-6093</v>
      </c>
      <c r="C2388" s="1">
        <v>4550</v>
      </c>
    </row>
    <row r="2389" spans="1:3" x14ac:dyDescent="0.25">
      <c r="A2389" s="1">
        <v>4403</v>
      </c>
      <c r="B2389" s="1">
        <v>-5806</v>
      </c>
      <c r="C2389" s="1">
        <v>4550</v>
      </c>
    </row>
    <row r="2390" spans="1:3" x14ac:dyDescent="0.25">
      <c r="A2390" s="1">
        <v>4790</v>
      </c>
      <c r="B2390" s="1">
        <v>-5492</v>
      </c>
      <c r="C2390" s="1">
        <v>4550</v>
      </c>
    </row>
    <row r="2391" spans="1:3" x14ac:dyDescent="0.25">
      <c r="A2391" s="1">
        <v>5145</v>
      </c>
      <c r="B2391" s="1">
        <v>-5161</v>
      </c>
      <c r="C2391" s="1">
        <v>4550</v>
      </c>
    </row>
    <row r="2392" spans="1:3" x14ac:dyDescent="0.25">
      <c r="A2392" s="1">
        <v>5653</v>
      </c>
      <c r="B2392" s="1">
        <v>-4599</v>
      </c>
      <c r="C2392" s="1">
        <v>4550</v>
      </c>
    </row>
    <row r="2393" spans="1:3" x14ac:dyDescent="0.25">
      <c r="A2393" s="1">
        <v>5953</v>
      </c>
      <c r="B2393" s="1">
        <v>-4202</v>
      </c>
      <c r="C2393" s="1">
        <v>4550</v>
      </c>
    </row>
    <row r="2394" spans="1:3" x14ac:dyDescent="0.25">
      <c r="A2394" s="1">
        <v>6226</v>
      </c>
      <c r="B2394" s="1">
        <v>-3786</v>
      </c>
      <c r="C2394" s="1">
        <v>4550</v>
      </c>
    </row>
    <row r="2395" spans="1:3" x14ac:dyDescent="0.25">
      <c r="A2395" s="1">
        <v>6470</v>
      </c>
      <c r="B2395" s="1">
        <v>-3353</v>
      </c>
      <c r="C2395" s="1">
        <v>4550</v>
      </c>
    </row>
    <row r="2396" spans="1:3" x14ac:dyDescent="0.25">
      <c r="A2396" s="1">
        <v>6684</v>
      </c>
      <c r="B2396" s="1">
        <v>-2903</v>
      </c>
      <c r="C2396" s="1">
        <v>4550</v>
      </c>
    </row>
    <row r="2397" spans="1:3" x14ac:dyDescent="0.25">
      <c r="A2397" s="1">
        <v>6866</v>
      </c>
      <c r="B2397" s="1">
        <v>-2440</v>
      </c>
      <c r="C2397" s="1">
        <v>4550</v>
      </c>
    </row>
    <row r="2398" spans="1:3" x14ac:dyDescent="0.25">
      <c r="A2398" s="1">
        <v>7010</v>
      </c>
      <c r="B2398" s="1">
        <v>-1988</v>
      </c>
      <c r="C2398" s="1">
        <v>4550</v>
      </c>
    </row>
    <row r="2399" spans="1:3" x14ac:dyDescent="0.25">
      <c r="A2399" s="1">
        <v>7184</v>
      </c>
      <c r="B2399" s="1">
        <v>-1215</v>
      </c>
      <c r="C2399" s="1">
        <v>4550</v>
      </c>
    </row>
    <row r="2400" spans="1:3" x14ac:dyDescent="0.25">
      <c r="A2400" s="1">
        <v>7249</v>
      </c>
      <c r="B2400">
        <f>0.745</f>
        <v>0.745</v>
      </c>
      <c r="C2400" s="1">
        <v>4550</v>
      </c>
    </row>
    <row r="2401" spans="1:3" x14ac:dyDescent="0.25">
      <c r="A2401" s="1">
        <v>7283</v>
      </c>
      <c r="B2401">
        <f>0.249</f>
        <v>0.249</v>
      </c>
      <c r="C2401" s="1">
        <v>4550</v>
      </c>
    </row>
    <row r="2402" spans="1:3" x14ac:dyDescent="0.25">
      <c r="A2402" s="1">
        <v>7283</v>
      </c>
      <c r="B2402">
        <v>0.249</v>
      </c>
      <c r="C2402" s="1">
        <v>4550</v>
      </c>
    </row>
    <row r="2403" spans="1:3" x14ac:dyDescent="0.25">
      <c r="A2403" s="1">
        <v>7249</v>
      </c>
      <c r="B2403">
        <v>0.745</v>
      </c>
      <c r="C2403" s="1">
        <v>4550</v>
      </c>
    </row>
    <row r="2404" spans="1:3" x14ac:dyDescent="0.25">
      <c r="A2404" s="1">
        <v>7181</v>
      </c>
      <c r="B2404" s="1">
        <v>1238</v>
      </c>
      <c r="C2404" s="1">
        <v>4550</v>
      </c>
    </row>
    <row r="2405" spans="1:3" x14ac:dyDescent="0.25">
      <c r="A2405" s="1">
        <v>7085</v>
      </c>
      <c r="B2405" s="1">
        <v>1703</v>
      </c>
      <c r="C2405" s="1">
        <v>4550</v>
      </c>
    </row>
    <row r="2406" spans="1:3" x14ac:dyDescent="0.25">
      <c r="A2406" s="1">
        <v>6858</v>
      </c>
      <c r="B2406" s="1">
        <v>2462</v>
      </c>
      <c r="C2406" s="1">
        <v>4550</v>
      </c>
    </row>
    <row r="2407" spans="1:3" x14ac:dyDescent="0.25">
      <c r="A2407" s="1">
        <v>6684</v>
      </c>
      <c r="B2407" s="1">
        <v>2903</v>
      </c>
      <c r="C2407" s="1">
        <v>4550</v>
      </c>
    </row>
    <row r="2408" spans="1:3" x14ac:dyDescent="0.25">
      <c r="A2408" s="1">
        <v>6480</v>
      </c>
      <c r="B2408" s="1">
        <v>3332</v>
      </c>
      <c r="C2408" s="1">
        <v>4550</v>
      </c>
    </row>
    <row r="2409" spans="1:3" x14ac:dyDescent="0.25">
      <c r="A2409" s="1">
        <v>6092</v>
      </c>
      <c r="B2409" s="1">
        <v>3996</v>
      </c>
      <c r="C2409" s="1">
        <v>4550</v>
      </c>
    </row>
    <row r="2410" spans="1:3" x14ac:dyDescent="0.25">
      <c r="A2410" s="1">
        <v>5651</v>
      </c>
      <c r="B2410" s="1">
        <v>4598</v>
      </c>
      <c r="C2410" s="1">
        <v>4550</v>
      </c>
    </row>
    <row r="2411" spans="1:3" x14ac:dyDescent="0.25">
      <c r="A2411" s="1">
        <v>5151</v>
      </c>
      <c r="B2411" s="1">
        <v>5151</v>
      </c>
      <c r="C2411" s="1">
        <v>4550</v>
      </c>
    </row>
    <row r="2412" spans="1:3" x14ac:dyDescent="0.25">
      <c r="A2412" s="1">
        <v>4598</v>
      </c>
      <c r="B2412" s="1">
        <v>5651</v>
      </c>
      <c r="C2412" s="1">
        <v>4550</v>
      </c>
    </row>
    <row r="2413" spans="1:3" x14ac:dyDescent="0.25">
      <c r="A2413" s="1">
        <v>3996</v>
      </c>
      <c r="B2413" s="1">
        <v>6092</v>
      </c>
      <c r="C2413" s="1">
        <v>4550</v>
      </c>
    </row>
    <row r="2414" spans="1:3" x14ac:dyDescent="0.25">
      <c r="A2414" s="1">
        <v>3352</v>
      </c>
      <c r="B2414" s="1">
        <v>6468</v>
      </c>
      <c r="C2414" s="1">
        <v>4550</v>
      </c>
    </row>
    <row r="2415" spans="1:3" x14ac:dyDescent="0.25">
      <c r="A2415" s="1">
        <v>2673</v>
      </c>
      <c r="B2415" s="1">
        <v>6777</v>
      </c>
      <c r="C2415" s="1">
        <v>4550</v>
      </c>
    </row>
    <row r="2416" spans="1:3" x14ac:dyDescent="0.25">
      <c r="A2416" s="1">
        <v>1966</v>
      </c>
      <c r="B2416" s="1">
        <v>7015</v>
      </c>
      <c r="C2416" s="1">
        <v>4550</v>
      </c>
    </row>
    <row r="2417" spans="1:3" x14ac:dyDescent="0.25">
      <c r="A2417" s="1">
        <v>1215</v>
      </c>
      <c r="B2417" s="1">
        <v>7184</v>
      </c>
      <c r="C2417" s="1">
        <v>4550</v>
      </c>
    </row>
    <row r="2418" spans="1:3" x14ac:dyDescent="0.25">
      <c r="A2418" t="s">
        <v>12</v>
      </c>
      <c r="B2418" s="1">
        <v>7249</v>
      </c>
      <c r="C2418" s="1">
        <v>4550</v>
      </c>
    </row>
    <row r="2419" spans="1:3" x14ac:dyDescent="0.25">
      <c r="A2419" t="s">
        <v>13</v>
      </c>
      <c r="B2419" s="1">
        <v>7283</v>
      </c>
      <c r="C2419" s="1">
        <v>4550</v>
      </c>
    </row>
    <row r="2420" spans="1:3" x14ac:dyDescent="0.25">
      <c r="A2420" s="1">
        <v>-7169</v>
      </c>
      <c r="B2420" s="1">
        <v>7287</v>
      </c>
      <c r="C2420" s="1">
        <v>4550</v>
      </c>
    </row>
    <row r="2421" spans="1:3" x14ac:dyDescent="0.25">
      <c r="A2421" s="1">
        <v>-8584</v>
      </c>
      <c r="B2421" s="1">
        <v>8584</v>
      </c>
      <c r="C2421" s="1">
        <v>4550</v>
      </c>
    </row>
    <row r="2422" spans="1:3" x14ac:dyDescent="0.25">
      <c r="A2422" s="1">
        <v>-8584</v>
      </c>
      <c r="B2422" s="1">
        <v>-8584</v>
      </c>
      <c r="C2422" s="1">
        <v>4550</v>
      </c>
    </row>
    <row r="2423" spans="1:3" x14ac:dyDescent="0.25">
      <c r="A2423" t="s">
        <v>80</v>
      </c>
      <c r="B2423" s="1">
        <v>-8579</v>
      </c>
      <c r="C2423" s="1">
        <v>4550</v>
      </c>
    </row>
    <row r="2424" spans="1:3" x14ac:dyDescent="0.25">
      <c r="A2424" s="1">
        <v>1169</v>
      </c>
      <c r="B2424" s="1">
        <v>-8504</v>
      </c>
      <c r="C2424" s="1">
        <v>4550</v>
      </c>
    </row>
    <row r="2425" spans="1:3" x14ac:dyDescent="0.25">
      <c r="A2425" s="1">
        <v>1746</v>
      </c>
      <c r="B2425" s="1">
        <v>-8404</v>
      </c>
      <c r="C2425" s="1">
        <v>4550</v>
      </c>
    </row>
    <row r="2426" spans="1:3" x14ac:dyDescent="0.25">
      <c r="A2426" s="1">
        <v>2316</v>
      </c>
      <c r="B2426" s="1">
        <v>-8265</v>
      </c>
      <c r="C2426" s="1">
        <v>4550</v>
      </c>
    </row>
    <row r="2427" spans="1:3" x14ac:dyDescent="0.25">
      <c r="A2427" s="1">
        <v>2875</v>
      </c>
      <c r="B2427" s="1">
        <v>-8088</v>
      </c>
      <c r="C2427" s="1">
        <v>4550</v>
      </c>
    </row>
    <row r="2428" spans="1:3" x14ac:dyDescent="0.25">
      <c r="A2428" s="1">
        <v>3678</v>
      </c>
      <c r="B2428" s="1">
        <v>-7756</v>
      </c>
      <c r="C2428" s="1">
        <v>4550</v>
      </c>
    </row>
    <row r="2429" spans="1:3" x14ac:dyDescent="0.25">
      <c r="A2429" s="1">
        <v>4207</v>
      </c>
      <c r="B2429" s="1">
        <v>-7482</v>
      </c>
      <c r="C2429" s="1">
        <v>4550</v>
      </c>
    </row>
    <row r="2430" spans="1:3" x14ac:dyDescent="0.25">
      <c r="A2430" s="1">
        <v>4708</v>
      </c>
      <c r="B2430" s="1">
        <v>-7177</v>
      </c>
      <c r="C2430" s="1">
        <v>4550</v>
      </c>
    </row>
    <row r="2431" spans="1:3" x14ac:dyDescent="0.25">
      <c r="A2431" s="1">
        <v>5186</v>
      </c>
      <c r="B2431" s="1">
        <v>-6839</v>
      </c>
      <c r="C2431" s="1">
        <v>4550</v>
      </c>
    </row>
    <row r="2432" spans="1:3" x14ac:dyDescent="0.25">
      <c r="A2432" s="1">
        <v>5642</v>
      </c>
      <c r="B2432" s="1">
        <v>-6469</v>
      </c>
      <c r="C2432" s="1">
        <v>4550</v>
      </c>
    </row>
    <row r="2433" spans="1:3" x14ac:dyDescent="0.25">
      <c r="A2433" s="1">
        <v>6051</v>
      </c>
      <c r="B2433" s="1">
        <v>-6087</v>
      </c>
      <c r="C2433" s="1">
        <v>4550</v>
      </c>
    </row>
    <row r="2434" spans="1:3" x14ac:dyDescent="0.25">
      <c r="A2434" s="1">
        <v>6658</v>
      </c>
      <c r="B2434" s="1">
        <v>-5417</v>
      </c>
      <c r="C2434" s="1">
        <v>4550</v>
      </c>
    </row>
    <row r="2435" spans="1:3" x14ac:dyDescent="0.25">
      <c r="A2435" s="1">
        <v>7013</v>
      </c>
      <c r="B2435" s="1">
        <v>-4950</v>
      </c>
      <c r="C2435" s="1">
        <v>4550</v>
      </c>
    </row>
    <row r="2436" spans="1:3" x14ac:dyDescent="0.25">
      <c r="A2436" s="1">
        <v>7334</v>
      </c>
      <c r="B2436" s="1">
        <v>-4460</v>
      </c>
      <c r="C2436" s="1">
        <v>4550</v>
      </c>
    </row>
    <row r="2437" spans="1:3" x14ac:dyDescent="0.25">
      <c r="A2437" s="1">
        <v>7621</v>
      </c>
      <c r="B2437" s="1">
        <v>-3949</v>
      </c>
      <c r="C2437" s="1">
        <v>4550</v>
      </c>
    </row>
    <row r="2438" spans="1:3" x14ac:dyDescent="0.25">
      <c r="A2438" s="1">
        <v>7873</v>
      </c>
      <c r="B2438" s="1">
        <v>-3420</v>
      </c>
      <c r="C2438" s="1">
        <v>4550</v>
      </c>
    </row>
    <row r="2439" spans="1:3" x14ac:dyDescent="0.25">
      <c r="A2439" s="1">
        <v>8088</v>
      </c>
      <c r="B2439" s="1">
        <v>-2874</v>
      </c>
      <c r="C2439" s="1">
        <v>4550</v>
      </c>
    </row>
    <row r="2440" spans="1:3" x14ac:dyDescent="0.25">
      <c r="A2440" s="1">
        <v>8262</v>
      </c>
      <c r="B2440" s="1">
        <v>-2327</v>
      </c>
      <c r="C2440" s="1">
        <v>4550</v>
      </c>
    </row>
    <row r="2441" spans="1:3" x14ac:dyDescent="0.25">
      <c r="A2441" s="1">
        <v>8460</v>
      </c>
      <c r="B2441" s="1">
        <v>-1446</v>
      </c>
      <c r="C2441" s="1">
        <v>4550</v>
      </c>
    </row>
    <row r="2442" spans="1:3" x14ac:dyDescent="0.25">
      <c r="A2442" s="1">
        <v>8539</v>
      </c>
      <c r="B2442">
        <f>0.878</f>
        <v>0.878</v>
      </c>
      <c r="C2442" s="1">
        <v>4550</v>
      </c>
    </row>
    <row r="2443" spans="1:3" x14ac:dyDescent="0.25">
      <c r="A2443" s="1">
        <v>8579</v>
      </c>
      <c r="B2443">
        <f>0.293</f>
        <v>0.29299999999999998</v>
      </c>
      <c r="C2443" s="1">
        <v>4550</v>
      </c>
    </row>
    <row r="2444" spans="1:3" x14ac:dyDescent="0.25">
      <c r="A2444" s="1">
        <v>8579</v>
      </c>
      <c r="B2444">
        <v>0.29299999999999998</v>
      </c>
      <c r="C2444" s="1">
        <v>4550</v>
      </c>
    </row>
    <row r="2445" spans="1:3" x14ac:dyDescent="0.25">
      <c r="A2445" s="1">
        <v>8539</v>
      </c>
      <c r="B2445">
        <v>0.878</v>
      </c>
      <c r="C2445" s="1">
        <v>4550</v>
      </c>
    </row>
    <row r="2446" spans="1:3" x14ac:dyDescent="0.25">
      <c r="A2446" s="1">
        <v>8459</v>
      </c>
      <c r="B2446" s="1">
        <v>1458</v>
      </c>
      <c r="C2446" s="1">
        <v>4550</v>
      </c>
    </row>
    <row r="2447" spans="1:3" x14ac:dyDescent="0.25">
      <c r="A2447" s="1">
        <v>8342</v>
      </c>
      <c r="B2447" s="1">
        <v>2020</v>
      </c>
      <c r="C2447" s="1">
        <v>4550</v>
      </c>
    </row>
    <row r="2448" spans="1:3" x14ac:dyDescent="0.25">
      <c r="A2448" s="1">
        <v>8084</v>
      </c>
      <c r="B2448" s="1">
        <v>2886</v>
      </c>
      <c r="C2448" s="1">
        <v>4550</v>
      </c>
    </row>
    <row r="2449" spans="1:3" x14ac:dyDescent="0.25">
      <c r="A2449" s="1">
        <v>7873</v>
      </c>
      <c r="B2449" s="1">
        <v>3420</v>
      </c>
      <c r="C2449" s="1">
        <v>4550</v>
      </c>
    </row>
    <row r="2450" spans="1:3" x14ac:dyDescent="0.25">
      <c r="A2450" s="1">
        <v>7626</v>
      </c>
      <c r="B2450" s="1">
        <v>3938</v>
      </c>
      <c r="C2450" s="1">
        <v>4550</v>
      </c>
    </row>
    <row r="2451" spans="1:3" x14ac:dyDescent="0.25">
      <c r="A2451" s="1">
        <v>7177</v>
      </c>
      <c r="B2451" s="1">
        <v>4707</v>
      </c>
      <c r="C2451" s="1">
        <v>4550</v>
      </c>
    </row>
    <row r="2452" spans="1:3" x14ac:dyDescent="0.25">
      <c r="A2452" s="1">
        <v>6658</v>
      </c>
      <c r="B2452" s="1">
        <v>5416</v>
      </c>
      <c r="C2452" s="1">
        <v>4550</v>
      </c>
    </row>
    <row r="2453" spans="1:3" x14ac:dyDescent="0.25">
      <c r="A2453" s="1">
        <v>6069</v>
      </c>
      <c r="B2453" s="1">
        <v>6069</v>
      </c>
      <c r="C2453" s="1">
        <v>4550</v>
      </c>
    </row>
    <row r="2454" spans="1:3" x14ac:dyDescent="0.25">
      <c r="A2454" s="1">
        <v>5416</v>
      </c>
      <c r="B2454" s="1">
        <v>6658</v>
      </c>
      <c r="C2454" s="1">
        <v>4550</v>
      </c>
    </row>
    <row r="2455" spans="1:3" x14ac:dyDescent="0.25">
      <c r="A2455" s="1">
        <v>4707</v>
      </c>
      <c r="B2455" s="1">
        <v>7177</v>
      </c>
      <c r="C2455" s="1">
        <v>4550</v>
      </c>
    </row>
    <row r="2456" spans="1:3" x14ac:dyDescent="0.25">
      <c r="A2456" s="1">
        <v>3949</v>
      </c>
      <c r="B2456" s="1">
        <v>7620</v>
      </c>
      <c r="C2456" s="1">
        <v>4550</v>
      </c>
    </row>
    <row r="2457" spans="1:3" x14ac:dyDescent="0.25">
      <c r="A2457" s="1">
        <v>3149</v>
      </c>
      <c r="B2457" s="1">
        <v>7984</v>
      </c>
      <c r="C2457" s="1">
        <v>4550</v>
      </c>
    </row>
    <row r="2458" spans="1:3" x14ac:dyDescent="0.25">
      <c r="A2458" s="1">
        <v>2316</v>
      </c>
      <c r="B2458" s="1">
        <v>8264</v>
      </c>
      <c r="C2458" s="1">
        <v>4550</v>
      </c>
    </row>
    <row r="2459" spans="1:3" x14ac:dyDescent="0.25">
      <c r="A2459" s="1">
        <v>1446</v>
      </c>
      <c r="B2459" s="1">
        <v>8460</v>
      </c>
      <c r="C2459" s="1">
        <v>4550</v>
      </c>
    </row>
    <row r="2460" spans="1:3" x14ac:dyDescent="0.25">
      <c r="A2460" t="s">
        <v>15</v>
      </c>
      <c r="B2460" s="1">
        <v>8539</v>
      </c>
      <c r="C2460" s="1">
        <v>4550</v>
      </c>
    </row>
    <row r="2461" spans="1:3" x14ac:dyDescent="0.25">
      <c r="A2461" t="s">
        <v>14</v>
      </c>
      <c r="B2461" s="1">
        <v>8579</v>
      </c>
      <c r="C2461" s="1">
        <v>4550</v>
      </c>
    </row>
    <row r="2462" spans="1:3" x14ac:dyDescent="0.25">
      <c r="A2462" s="1">
        <v>-8464</v>
      </c>
      <c r="B2462" s="1">
        <v>8584</v>
      </c>
      <c r="C2462" s="1">
        <v>4550</v>
      </c>
    </row>
    <row r="2463" spans="1:3" x14ac:dyDescent="0.25">
      <c r="A2463" s="1">
        <v>-9600</v>
      </c>
      <c r="B2463" s="1">
        <v>9600</v>
      </c>
      <c r="C2463" s="1">
        <v>4550</v>
      </c>
    </row>
    <row r="2464" spans="1:3" x14ac:dyDescent="0.25">
      <c r="A2464" s="1">
        <v>-9600</v>
      </c>
      <c r="B2464" s="1">
        <v>-9600</v>
      </c>
      <c r="C2464" s="1">
        <v>4550</v>
      </c>
    </row>
    <row r="2465" spans="1:3" x14ac:dyDescent="0.25">
      <c r="A2465" t="s">
        <v>81</v>
      </c>
      <c r="B2465" s="1">
        <v>-9595</v>
      </c>
      <c r="C2465" s="1">
        <v>4550</v>
      </c>
    </row>
    <row r="2466" spans="1:3" x14ac:dyDescent="0.25">
      <c r="A2466" t="s">
        <v>82</v>
      </c>
      <c r="B2466" s="1">
        <v>-9578</v>
      </c>
      <c r="C2466" s="1">
        <v>4550</v>
      </c>
    </row>
    <row r="2467" spans="1:3" x14ac:dyDescent="0.25">
      <c r="A2467" s="1">
        <v>1307</v>
      </c>
      <c r="B2467" s="1">
        <v>-9510</v>
      </c>
      <c r="C2467" s="1">
        <v>4550</v>
      </c>
    </row>
    <row r="2468" spans="1:3" x14ac:dyDescent="0.25">
      <c r="A2468" s="1">
        <v>1953</v>
      </c>
      <c r="B2468" s="1">
        <v>-9399</v>
      </c>
      <c r="C2468" s="1">
        <v>4550</v>
      </c>
    </row>
    <row r="2469" spans="1:3" x14ac:dyDescent="0.25">
      <c r="A2469" s="1">
        <v>2590</v>
      </c>
      <c r="B2469" s="1">
        <v>-9244</v>
      </c>
      <c r="C2469" s="1">
        <v>4550</v>
      </c>
    </row>
    <row r="2470" spans="1:3" x14ac:dyDescent="0.25">
      <c r="A2470" s="1">
        <v>3215</v>
      </c>
      <c r="B2470" s="1">
        <v>-9045</v>
      </c>
      <c r="C2470" s="1">
        <v>4550</v>
      </c>
    </row>
    <row r="2471" spans="1:3" x14ac:dyDescent="0.25">
      <c r="A2471" s="1">
        <v>4121</v>
      </c>
      <c r="B2471" s="1">
        <v>-8671</v>
      </c>
      <c r="C2471" s="1">
        <v>4550</v>
      </c>
    </row>
    <row r="2472" spans="1:3" x14ac:dyDescent="0.25">
      <c r="A2472" s="1">
        <v>4705</v>
      </c>
      <c r="B2472" s="1">
        <v>-8368</v>
      </c>
      <c r="C2472" s="1">
        <v>4550</v>
      </c>
    </row>
    <row r="2473" spans="1:3" x14ac:dyDescent="0.25">
      <c r="A2473" s="1">
        <v>5265</v>
      </c>
      <c r="B2473" s="1">
        <v>-8027</v>
      </c>
      <c r="C2473" s="1">
        <v>4550</v>
      </c>
    </row>
    <row r="2474" spans="1:3" x14ac:dyDescent="0.25">
      <c r="A2474" s="1">
        <v>5801</v>
      </c>
      <c r="B2474" s="1">
        <v>-7649</v>
      </c>
      <c r="C2474" s="1">
        <v>4550</v>
      </c>
    </row>
    <row r="2475" spans="1:3" x14ac:dyDescent="0.25">
      <c r="A2475" s="1">
        <v>6309</v>
      </c>
      <c r="B2475" s="1">
        <v>-7235</v>
      </c>
      <c r="C2475" s="1">
        <v>4550</v>
      </c>
    </row>
    <row r="2476" spans="1:3" x14ac:dyDescent="0.25">
      <c r="A2476" s="1">
        <v>6762</v>
      </c>
      <c r="B2476" s="1">
        <v>-6814</v>
      </c>
      <c r="C2476" s="1">
        <v>4550</v>
      </c>
    </row>
    <row r="2477" spans="1:3" x14ac:dyDescent="0.25">
      <c r="A2477" s="1">
        <v>7014</v>
      </c>
      <c r="B2477" s="1">
        <v>-6554</v>
      </c>
      <c r="C2477" s="1">
        <v>4550</v>
      </c>
    </row>
    <row r="2478" spans="1:3" x14ac:dyDescent="0.25">
      <c r="A2478" s="1">
        <v>7447</v>
      </c>
      <c r="B2478" s="1">
        <v>-6058</v>
      </c>
      <c r="C2478" s="1">
        <v>4550</v>
      </c>
    </row>
    <row r="2479" spans="1:3" x14ac:dyDescent="0.25">
      <c r="A2479" s="1">
        <v>7843</v>
      </c>
      <c r="B2479" s="1">
        <v>-5536</v>
      </c>
      <c r="C2479" s="1">
        <v>4550</v>
      </c>
    </row>
    <row r="2480" spans="1:3" x14ac:dyDescent="0.25">
      <c r="A2480" s="1">
        <v>8202</v>
      </c>
      <c r="B2480" s="1">
        <v>-4988</v>
      </c>
      <c r="C2480" s="1">
        <v>4550</v>
      </c>
    </row>
    <row r="2481" spans="1:3" x14ac:dyDescent="0.25">
      <c r="A2481" s="1">
        <v>8523</v>
      </c>
      <c r="B2481" s="1">
        <v>-4417</v>
      </c>
      <c r="C2481" s="1">
        <v>4550</v>
      </c>
    </row>
    <row r="2482" spans="1:3" x14ac:dyDescent="0.25">
      <c r="A2482" s="1">
        <v>8805</v>
      </c>
      <c r="B2482" s="1">
        <v>-3825</v>
      </c>
      <c r="C2482" s="1">
        <v>4550</v>
      </c>
    </row>
    <row r="2483" spans="1:3" x14ac:dyDescent="0.25">
      <c r="A2483" s="1">
        <v>9045</v>
      </c>
      <c r="B2483" s="1">
        <v>-3215</v>
      </c>
      <c r="C2483" s="1">
        <v>4550</v>
      </c>
    </row>
    <row r="2484" spans="1:3" x14ac:dyDescent="0.25">
      <c r="A2484" s="1">
        <v>9243</v>
      </c>
      <c r="B2484" s="1">
        <v>-2593</v>
      </c>
      <c r="C2484" s="1">
        <v>4550</v>
      </c>
    </row>
    <row r="2485" spans="1:3" x14ac:dyDescent="0.25">
      <c r="A2485" s="1">
        <v>9461</v>
      </c>
      <c r="B2485" s="1">
        <v>-1628</v>
      </c>
      <c r="C2485" s="1">
        <v>4550</v>
      </c>
    </row>
    <row r="2486" spans="1:3" x14ac:dyDescent="0.25">
      <c r="A2486" s="1">
        <v>9549</v>
      </c>
      <c r="B2486">
        <f>0.982</f>
        <v>0.98199999999999998</v>
      </c>
      <c r="C2486" s="1">
        <v>4550</v>
      </c>
    </row>
    <row r="2487" spans="1:3" x14ac:dyDescent="0.25">
      <c r="A2487" s="1">
        <v>9594</v>
      </c>
      <c r="B2487">
        <f>0.328</f>
        <v>0.32800000000000001</v>
      </c>
      <c r="C2487" s="1">
        <v>4550</v>
      </c>
    </row>
    <row r="2488" spans="1:3" x14ac:dyDescent="0.25">
      <c r="A2488" s="1">
        <v>9594</v>
      </c>
      <c r="B2488">
        <v>0.32800000000000001</v>
      </c>
      <c r="C2488" s="1">
        <v>4550</v>
      </c>
    </row>
    <row r="2489" spans="1:3" x14ac:dyDescent="0.25">
      <c r="A2489" s="1">
        <v>9549</v>
      </c>
      <c r="B2489">
        <v>0.98199999999999998</v>
      </c>
      <c r="C2489" s="1">
        <v>4550</v>
      </c>
    </row>
    <row r="2490" spans="1:3" x14ac:dyDescent="0.25">
      <c r="A2490" s="1">
        <v>9460</v>
      </c>
      <c r="B2490" s="1">
        <v>1631</v>
      </c>
      <c r="C2490" s="1">
        <v>4550</v>
      </c>
    </row>
    <row r="2491" spans="1:3" x14ac:dyDescent="0.25">
      <c r="A2491" s="1">
        <v>9328</v>
      </c>
      <c r="B2491" s="1">
        <v>2270</v>
      </c>
      <c r="C2491" s="1">
        <v>4550</v>
      </c>
    </row>
    <row r="2492" spans="1:3" x14ac:dyDescent="0.25">
      <c r="A2492" s="1">
        <v>9044</v>
      </c>
      <c r="B2492" s="1">
        <v>3218</v>
      </c>
      <c r="C2492" s="1">
        <v>4550</v>
      </c>
    </row>
    <row r="2493" spans="1:3" x14ac:dyDescent="0.25">
      <c r="A2493" s="1">
        <v>8805</v>
      </c>
      <c r="B2493" s="1">
        <v>3825</v>
      </c>
      <c r="C2493" s="1">
        <v>4550</v>
      </c>
    </row>
    <row r="2494" spans="1:3" x14ac:dyDescent="0.25">
      <c r="A2494" s="1">
        <v>8525</v>
      </c>
      <c r="B2494" s="1">
        <v>4413</v>
      </c>
      <c r="C2494" s="1">
        <v>4550</v>
      </c>
    </row>
    <row r="2495" spans="1:3" x14ac:dyDescent="0.25">
      <c r="A2495" s="1">
        <v>8027</v>
      </c>
      <c r="B2495" s="1">
        <v>5265</v>
      </c>
      <c r="C2495" s="1">
        <v>4550</v>
      </c>
    </row>
    <row r="2496" spans="1:3" x14ac:dyDescent="0.25">
      <c r="A2496" s="1">
        <v>7446</v>
      </c>
      <c r="B2496" s="1">
        <v>6058</v>
      </c>
      <c r="C2496" s="1">
        <v>4550</v>
      </c>
    </row>
    <row r="2497" spans="1:3" x14ac:dyDescent="0.25">
      <c r="A2497" s="1">
        <v>6788</v>
      </c>
      <c r="B2497" s="1">
        <v>6788</v>
      </c>
      <c r="C2497" s="1">
        <v>4550</v>
      </c>
    </row>
    <row r="2498" spans="1:3" x14ac:dyDescent="0.25">
      <c r="A2498" s="1">
        <v>6058</v>
      </c>
      <c r="B2498" s="1">
        <v>7446</v>
      </c>
      <c r="C2498" s="1">
        <v>4550</v>
      </c>
    </row>
    <row r="2499" spans="1:3" x14ac:dyDescent="0.25">
      <c r="A2499" s="1">
        <v>5265</v>
      </c>
      <c r="B2499" s="1">
        <v>8027</v>
      </c>
      <c r="C2499" s="1">
        <v>4550</v>
      </c>
    </row>
    <row r="2500" spans="1:3" x14ac:dyDescent="0.25">
      <c r="A2500" s="1">
        <v>4416</v>
      </c>
      <c r="B2500" s="1">
        <v>8523</v>
      </c>
      <c r="C2500" s="1">
        <v>4550</v>
      </c>
    </row>
    <row r="2501" spans="1:3" x14ac:dyDescent="0.25">
      <c r="A2501" s="1">
        <v>3522</v>
      </c>
      <c r="B2501" s="1">
        <v>8930</v>
      </c>
      <c r="C2501" s="1">
        <v>4550</v>
      </c>
    </row>
    <row r="2502" spans="1:3" x14ac:dyDescent="0.25">
      <c r="A2502" s="1">
        <v>2590</v>
      </c>
      <c r="B2502" s="1">
        <v>9243</v>
      </c>
      <c r="C2502" s="1">
        <v>4550</v>
      </c>
    </row>
    <row r="2503" spans="1:3" x14ac:dyDescent="0.25">
      <c r="A2503" s="1">
        <v>1628</v>
      </c>
      <c r="B2503" s="1">
        <v>9461</v>
      </c>
      <c r="C2503" s="1">
        <v>4550</v>
      </c>
    </row>
    <row r="2504" spans="1:3" x14ac:dyDescent="0.25">
      <c r="A2504" t="s">
        <v>18</v>
      </c>
      <c r="B2504" s="1">
        <v>9549</v>
      </c>
      <c r="C2504" s="1">
        <v>4550</v>
      </c>
    </row>
    <row r="2505" spans="1:3" x14ac:dyDescent="0.25">
      <c r="A2505" t="s">
        <v>17</v>
      </c>
      <c r="B2505" s="1">
        <v>9594</v>
      </c>
      <c r="C2505" s="1">
        <v>4550</v>
      </c>
    </row>
    <row r="2506" spans="1:3" x14ac:dyDescent="0.25">
      <c r="A2506" s="1">
        <v>-9480</v>
      </c>
      <c r="B2506" s="1">
        <v>9600</v>
      </c>
      <c r="C2506" s="1">
        <v>4550</v>
      </c>
    </row>
    <row r="2507" spans="1:3" x14ac:dyDescent="0.25">
      <c r="A2507" s="1">
        <v>-9201</v>
      </c>
      <c r="B2507" s="1">
        <v>8906</v>
      </c>
      <c r="C2507" s="1">
        <v>4550</v>
      </c>
    </row>
    <row r="2508" spans="1:3" x14ac:dyDescent="0.25">
      <c r="A2508" s="1">
        <v>3973</v>
      </c>
      <c r="B2508" s="1">
        <v>4810</v>
      </c>
      <c r="C2508" s="1">
        <v>4550</v>
      </c>
    </row>
    <row r="2509" spans="1:3" x14ac:dyDescent="0.25">
      <c r="A2509" s="1">
        <v>4810</v>
      </c>
      <c r="B2509" s="1">
        <v>3973</v>
      </c>
      <c r="C2509" s="1">
        <v>4550</v>
      </c>
    </row>
    <row r="2510" spans="1:3" x14ac:dyDescent="0.25">
      <c r="A2510" s="1">
        <v>5235</v>
      </c>
      <c r="B2510" s="1">
        <v>3502</v>
      </c>
      <c r="C2510" s="1">
        <v>4550</v>
      </c>
    </row>
    <row r="2511" spans="1:3" x14ac:dyDescent="0.25">
      <c r="A2511" s="1">
        <v>5611</v>
      </c>
      <c r="B2511" s="1">
        <v>2989</v>
      </c>
      <c r="C2511" s="1">
        <v>4550</v>
      </c>
    </row>
    <row r="2512" spans="1:3" x14ac:dyDescent="0.25">
      <c r="A2512" s="1">
        <v>5948</v>
      </c>
      <c r="B2512" s="1">
        <v>2412</v>
      </c>
      <c r="C2512" s="1">
        <v>4550</v>
      </c>
    </row>
    <row r="2513" spans="1:3" x14ac:dyDescent="0.25">
      <c r="A2513" s="1">
        <v>6117</v>
      </c>
      <c r="B2513" s="1">
        <v>2058</v>
      </c>
      <c r="C2513" s="1">
        <v>4550</v>
      </c>
    </row>
    <row r="2514" spans="1:3" x14ac:dyDescent="0.25">
      <c r="A2514" s="1">
        <v>6260</v>
      </c>
      <c r="B2514" s="1">
        <v>1694</v>
      </c>
      <c r="C2514" s="1">
        <v>4550</v>
      </c>
    </row>
    <row r="2515" spans="1:3" x14ac:dyDescent="0.25">
      <c r="A2515" s="1">
        <v>6439</v>
      </c>
      <c r="B2515" s="1">
        <v>1097</v>
      </c>
      <c r="C2515" s="1">
        <v>4550</v>
      </c>
    </row>
    <row r="2516" spans="1:3" x14ac:dyDescent="0.25">
      <c r="A2516" s="1">
        <v>1103</v>
      </c>
      <c r="B2516" s="1">
        <v>6433</v>
      </c>
      <c r="C2516" s="1">
        <v>4550</v>
      </c>
    </row>
    <row r="2517" spans="1:3" x14ac:dyDescent="0.25">
      <c r="A2517" t="s">
        <v>83</v>
      </c>
      <c r="B2517" s="1">
        <v>6572</v>
      </c>
      <c r="C2517" s="1">
        <v>4550</v>
      </c>
    </row>
    <row r="2518" spans="1:3" x14ac:dyDescent="0.25">
      <c r="A2518" t="e" vm="15">
        <f>_FV(0,"34")</f>
        <v>#VALUE!</v>
      </c>
      <c r="B2518" s="1">
        <v>6628</v>
      </c>
      <c r="C2518" s="1">
        <v>4550</v>
      </c>
    </row>
    <row r="2519" spans="1:3" x14ac:dyDescent="0.25">
      <c r="A2519" s="1">
        <v>6627</v>
      </c>
      <c r="B2519">
        <f>0.34</f>
        <v>0.34</v>
      </c>
      <c r="C2519" s="1">
        <v>4550</v>
      </c>
    </row>
    <row r="2520" spans="1:3" x14ac:dyDescent="0.25">
      <c r="A2520" s="1">
        <v>6598</v>
      </c>
      <c r="B2520" s="1">
        <v>-1053</v>
      </c>
      <c r="C2520" s="1">
        <v>4550</v>
      </c>
    </row>
    <row r="2521" spans="1:3" x14ac:dyDescent="0.25">
      <c r="A2521" s="1">
        <v>6533</v>
      </c>
      <c r="B2521" s="1">
        <v>-1493</v>
      </c>
      <c r="C2521" s="1">
        <v>4550</v>
      </c>
    </row>
    <row r="2522" spans="1:3" x14ac:dyDescent="0.25">
      <c r="A2522" s="1">
        <v>-1588</v>
      </c>
      <c r="B2522" s="1">
        <v>6628</v>
      </c>
      <c r="C2522" s="1">
        <v>4550</v>
      </c>
    </row>
    <row r="2523" spans="1:3" x14ac:dyDescent="0.25">
      <c r="A2523" s="1">
        <v>-2837</v>
      </c>
      <c r="B2523" s="1">
        <v>6629</v>
      </c>
      <c r="C2523" s="1">
        <v>4550</v>
      </c>
    </row>
    <row r="2524" spans="1:3" x14ac:dyDescent="0.25">
      <c r="A2524" s="1">
        <v>6270</v>
      </c>
      <c r="B2524" s="1">
        <v>-2478</v>
      </c>
      <c r="C2524" s="1">
        <v>4550</v>
      </c>
    </row>
    <row r="2525" spans="1:3" x14ac:dyDescent="0.25">
      <c r="A2525" s="1">
        <v>6100</v>
      </c>
      <c r="B2525" s="1">
        <v>-2928</v>
      </c>
      <c r="C2525" s="1">
        <v>4550</v>
      </c>
    </row>
    <row r="2526" spans="1:3" x14ac:dyDescent="0.25">
      <c r="A2526" s="1">
        <v>5893</v>
      </c>
      <c r="B2526" s="1">
        <v>-3349</v>
      </c>
      <c r="C2526" s="1">
        <v>4550</v>
      </c>
    </row>
    <row r="2527" spans="1:3" x14ac:dyDescent="0.25">
      <c r="A2527" s="1">
        <v>-4085</v>
      </c>
      <c r="B2527" s="1">
        <v>6630</v>
      </c>
      <c r="C2527" s="1">
        <v>4550</v>
      </c>
    </row>
    <row r="2528" spans="1:3" x14ac:dyDescent="0.25">
      <c r="A2528" s="1">
        <v>-5334</v>
      </c>
      <c r="B2528" s="1">
        <v>6630</v>
      </c>
      <c r="C2528" s="1">
        <v>4550</v>
      </c>
    </row>
    <row r="2529" spans="1:3" x14ac:dyDescent="0.25">
      <c r="A2529" s="1">
        <v>5409</v>
      </c>
      <c r="B2529" s="1">
        <v>-4112</v>
      </c>
      <c r="C2529" s="1">
        <v>4550</v>
      </c>
    </row>
    <row r="2530" spans="1:3" x14ac:dyDescent="0.25">
      <c r="A2530" s="1">
        <v>5243</v>
      </c>
      <c r="B2530" s="1">
        <v>-4331</v>
      </c>
      <c r="C2530" s="1">
        <v>4550</v>
      </c>
    </row>
    <row r="2531" spans="1:3" x14ac:dyDescent="0.25">
      <c r="A2531" s="1">
        <v>4833</v>
      </c>
      <c r="B2531" s="1">
        <v>-4784</v>
      </c>
      <c r="C2531" s="1">
        <v>4550</v>
      </c>
    </row>
    <row r="2532" spans="1:3" x14ac:dyDescent="0.25">
      <c r="A2532" s="1">
        <v>-6582</v>
      </c>
      <c r="B2532" s="1">
        <v>6631</v>
      </c>
      <c r="C2532" s="1">
        <v>4550</v>
      </c>
    </row>
    <row r="2533" spans="1:3" x14ac:dyDescent="0.25">
      <c r="A2533" s="1">
        <v>-6633</v>
      </c>
      <c r="B2533" s="1">
        <v>6631</v>
      </c>
      <c r="C2533" s="1">
        <v>4550</v>
      </c>
    </row>
    <row r="2534" spans="1:3" x14ac:dyDescent="0.25">
      <c r="A2534" s="1">
        <v>-6633</v>
      </c>
      <c r="B2534" s="1">
        <v>5434</v>
      </c>
      <c r="C2534" s="1">
        <v>4550</v>
      </c>
    </row>
    <row r="2535" spans="1:3" x14ac:dyDescent="0.25">
      <c r="A2535" s="1">
        <v>4168</v>
      </c>
      <c r="B2535" s="1">
        <v>-5367</v>
      </c>
      <c r="C2535" s="1">
        <v>4550</v>
      </c>
    </row>
    <row r="2536" spans="1:3" x14ac:dyDescent="0.25">
      <c r="A2536" s="1">
        <v>3985</v>
      </c>
      <c r="B2536" s="1">
        <v>-5500</v>
      </c>
      <c r="C2536" s="1">
        <v>4550</v>
      </c>
    </row>
    <row r="2537" spans="1:3" x14ac:dyDescent="0.25">
      <c r="A2537" s="1">
        <v>3410</v>
      </c>
      <c r="B2537" s="1">
        <v>-5857</v>
      </c>
      <c r="C2537" s="1">
        <v>4550</v>
      </c>
    </row>
    <row r="2538" spans="1:3" x14ac:dyDescent="0.25">
      <c r="A2538" s="1">
        <v>-6633</v>
      </c>
      <c r="B2538" s="1">
        <v>4186</v>
      </c>
      <c r="C2538" s="1">
        <v>4550</v>
      </c>
    </row>
    <row r="2539" spans="1:3" x14ac:dyDescent="0.25">
      <c r="A2539" s="1">
        <v>-6633</v>
      </c>
      <c r="B2539" s="1">
        <v>2938</v>
      </c>
      <c r="C2539" s="1">
        <v>4550</v>
      </c>
    </row>
    <row r="2540" spans="1:3" x14ac:dyDescent="0.25">
      <c r="A2540" s="1">
        <v>2555</v>
      </c>
      <c r="B2540" s="1">
        <v>-6250</v>
      </c>
      <c r="C2540" s="1">
        <v>4550</v>
      </c>
    </row>
    <row r="2541" spans="1:3" x14ac:dyDescent="0.25">
      <c r="A2541" s="1">
        <v>2094</v>
      </c>
      <c r="B2541" s="1">
        <v>-6401</v>
      </c>
      <c r="C2541" s="1">
        <v>4550</v>
      </c>
    </row>
    <row r="2542" spans="1:3" x14ac:dyDescent="0.25">
      <c r="A2542" s="1">
        <v>1576</v>
      </c>
      <c r="B2542" s="1">
        <v>-6519</v>
      </c>
      <c r="C2542" s="1">
        <v>4550</v>
      </c>
    </row>
    <row r="2543" spans="1:3" x14ac:dyDescent="0.25">
      <c r="A2543" s="1">
        <v>-6633</v>
      </c>
      <c r="B2543" s="1">
        <v>1690</v>
      </c>
      <c r="C2543" s="1">
        <v>4550</v>
      </c>
    </row>
    <row r="2544" spans="1:3" x14ac:dyDescent="0.25">
      <c r="A2544" s="1">
        <v>-6633</v>
      </c>
      <c r="B2544">
        <v>0.443</v>
      </c>
      <c r="C2544" s="1">
        <v>4550</v>
      </c>
    </row>
    <row r="2545" spans="1:3" x14ac:dyDescent="0.25">
      <c r="A2545" t="s">
        <v>85</v>
      </c>
      <c r="B2545" s="1">
        <v>-6628</v>
      </c>
      <c r="C2545" s="1">
        <v>4550</v>
      </c>
    </row>
    <row r="2546" spans="1:3" x14ac:dyDescent="0.25">
      <c r="A2546" t="e" vm="16">
        <f>_FV(0,"81")</f>
        <v>#VALUE!</v>
      </c>
      <c r="B2546" s="1">
        <v>-6629</v>
      </c>
      <c r="C2546" s="1">
        <v>4550</v>
      </c>
    </row>
    <row r="2547" spans="1:3" x14ac:dyDescent="0.25">
      <c r="A2547" s="1">
        <v>-6633</v>
      </c>
      <c r="B2547">
        <f>0.805</f>
        <v>0.80500000000000005</v>
      </c>
      <c r="C2547" s="1">
        <v>4550</v>
      </c>
    </row>
    <row r="2548" spans="1:3" x14ac:dyDescent="0.25">
      <c r="A2548" s="1">
        <v>-6633</v>
      </c>
      <c r="B2548" s="1">
        <v>-2053</v>
      </c>
      <c r="C2548" s="1">
        <v>4550</v>
      </c>
    </row>
    <row r="2549" spans="1:3" x14ac:dyDescent="0.25">
      <c r="A2549" s="1">
        <v>-2057</v>
      </c>
      <c r="B2549" s="1">
        <v>-6629</v>
      </c>
      <c r="C2549" s="1">
        <v>4550</v>
      </c>
    </row>
    <row r="2550" spans="1:3" x14ac:dyDescent="0.25">
      <c r="A2550" s="1">
        <v>-3304</v>
      </c>
      <c r="B2550" s="1">
        <v>-6630</v>
      </c>
      <c r="C2550" s="1">
        <v>4550</v>
      </c>
    </row>
    <row r="2551" spans="1:3" x14ac:dyDescent="0.25">
      <c r="A2551" s="1">
        <v>-6633</v>
      </c>
      <c r="B2551" s="1">
        <v>-3301</v>
      </c>
      <c r="C2551" s="1">
        <v>4550</v>
      </c>
    </row>
    <row r="2552" spans="1:3" x14ac:dyDescent="0.25">
      <c r="A2552" s="1">
        <v>-6633</v>
      </c>
      <c r="B2552" s="1">
        <v>-4549</v>
      </c>
      <c r="C2552" s="1">
        <v>4550</v>
      </c>
    </row>
    <row r="2553" spans="1:3" x14ac:dyDescent="0.25">
      <c r="A2553" s="1">
        <v>-4551</v>
      </c>
      <c r="B2553" s="1">
        <v>-6631</v>
      </c>
      <c r="C2553" s="1">
        <v>4550</v>
      </c>
    </row>
    <row r="2554" spans="1:3" x14ac:dyDescent="0.25">
      <c r="A2554" s="1">
        <v>-5799</v>
      </c>
      <c r="B2554" s="1">
        <v>-6631</v>
      </c>
      <c r="C2554" s="1">
        <v>4550</v>
      </c>
    </row>
    <row r="2555" spans="1:3" x14ac:dyDescent="0.25">
      <c r="A2555" s="1">
        <v>-6633</v>
      </c>
      <c r="B2555" s="1">
        <v>-5797</v>
      </c>
      <c r="C2555" s="1">
        <v>4550</v>
      </c>
    </row>
    <row r="2556" spans="1:3" x14ac:dyDescent="0.25">
      <c r="A2556" s="1">
        <v>-6633</v>
      </c>
      <c r="B2556" s="1">
        <v>-5797</v>
      </c>
      <c r="C2556" s="1">
        <v>4850</v>
      </c>
    </row>
    <row r="2557" spans="1:3" x14ac:dyDescent="0.25">
      <c r="A2557" s="1">
        <v>-7289</v>
      </c>
      <c r="B2557" s="1">
        <v>7287</v>
      </c>
      <c r="C2557" s="1">
        <v>4850</v>
      </c>
    </row>
    <row r="2558" spans="1:3" x14ac:dyDescent="0.25">
      <c r="A2558" s="1">
        <v>-7289</v>
      </c>
      <c r="B2558" s="1">
        <v>-7287</v>
      </c>
      <c r="C2558" s="1">
        <v>4850</v>
      </c>
    </row>
    <row r="2559" spans="1:3" x14ac:dyDescent="0.25">
      <c r="A2559" t="s">
        <v>86</v>
      </c>
      <c r="B2559" s="1">
        <v>-7283</v>
      </c>
      <c r="C2559" s="1">
        <v>4850</v>
      </c>
    </row>
    <row r="2560" spans="1:3" x14ac:dyDescent="0.25">
      <c r="A2560" t="s">
        <v>11</v>
      </c>
      <c r="B2560" s="1">
        <v>-7219</v>
      </c>
      <c r="C2560" s="1">
        <v>4850</v>
      </c>
    </row>
    <row r="2561" spans="1:3" x14ac:dyDescent="0.25">
      <c r="A2561" s="1">
        <v>1483</v>
      </c>
      <c r="B2561" s="1">
        <v>-7135</v>
      </c>
      <c r="C2561" s="1">
        <v>4850</v>
      </c>
    </row>
    <row r="2562" spans="1:3" x14ac:dyDescent="0.25">
      <c r="A2562" s="1">
        <v>1966</v>
      </c>
      <c r="B2562" s="1">
        <v>-7017</v>
      </c>
      <c r="C2562" s="1">
        <v>4850</v>
      </c>
    </row>
    <row r="2563" spans="1:3" x14ac:dyDescent="0.25">
      <c r="A2563" s="1">
        <v>2440</v>
      </c>
      <c r="B2563" s="1">
        <v>-6866</v>
      </c>
      <c r="C2563" s="1">
        <v>4850</v>
      </c>
    </row>
    <row r="2564" spans="1:3" x14ac:dyDescent="0.25">
      <c r="A2564" s="1">
        <v>2882</v>
      </c>
      <c r="B2564" s="1">
        <v>-6692</v>
      </c>
      <c r="C2564" s="1">
        <v>4850</v>
      </c>
    </row>
    <row r="2565" spans="1:3" x14ac:dyDescent="0.25">
      <c r="A2565" s="1">
        <v>3571</v>
      </c>
      <c r="B2565" s="1">
        <v>-6350</v>
      </c>
      <c r="C2565" s="1">
        <v>4850</v>
      </c>
    </row>
    <row r="2566" spans="1:3" x14ac:dyDescent="0.25">
      <c r="A2566" s="1">
        <v>4221</v>
      </c>
      <c r="B2566" s="1">
        <v>-5939</v>
      </c>
      <c r="C2566" s="1">
        <v>4850</v>
      </c>
    </row>
    <row r="2567" spans="1:3" x14ac:dyDescent="0.25">
      <c r="A2567" s="1">
        <v>4599</v>
      </c>
      <c r="B2567" s="1">
        <v>-5653</v>
      </c>
      <c r="C2567" s="1">
        <v>4850</v>
      </c>
    </row>
    <row r="2568" spans="1:3" x14ac:dyDescent="0.25">
      <c r="A2568" s="1">
        <v>4974</v>
      </c>
      <c r="B2568" s="1">
        <v>-5326</v>
      </c>
      <c r="C2568" s="1">
        <v>4850</v>
      </c>
    </row>
    <row r="2569" spans="1:3" x14ac:dyDescent="0.25">
      <c r="A2569" s="1">
        <v>5326</v>
      </c>
      <c r="B2569" s="1">
        <v>-4974</v>
      </c>
      <c r="C2569" s="1">
        <v>4850</v>
      </c>
    </row>
    <row r="2570" spans="1:3" x14ac:dyDescent="0.25">
      <c r="A2570" s="1">
        <v>5653</v>
      </c>
      <c r="B2570" s="1">
        <v>-4599</v>
      </c>
      <c r="C2570" s="1">
        <v>4850</v>
      </c>
    </row>
    <row r="2571" spans="1:3" x14ac:dyDescent="0.25">
      <c r="A2571" s="1">
        <v>5953</v>
      </c>
      <c r="B2571" s="1">
        <v>-4202</v>
      </c>
      <c r="C2571" s="1">
        <v>4850</v>
      </c>
    </row>
    <row r="2572" spans="1:3" x14ac:dyDescent="0.25">
      <c r="A2572" s="1">
        <v>6226</v>
      </c>
      <c r="B2572" s="1">
        <v>-3786</v>
      </c>
      <c r="C2572" s="1">
        <v>4850</v>
      </c>
    </row>
    <row r="2573" spans="1:3" x14ac:dyDescent="0.25">
      <c r="A2573" s="1">
        <v>6470</v>
      </c>
      <c r="B2573" s="1">
        <v>-3353</v>
      </c>
      <c r="C2573" s="1">
        <v>4850</v>
      </c>
    </row>
    <row r="2574" spans="1:3" x14ac:dyDescent="0.25">
      <c r="A2574" s="1">
        <v>6674</v>
      </c>
      <c r="B2574" s="1">
        <v>-2924</v>
      </c>
      <c r="C2574" s="1">
        <v>4850</v>
      </c>
    </row>
    <row r="2575" spans="1:3" x14ac:dyDescent="0.25">
      <c r="A2575" s="1">
        <v>6952</v>
      </c>
      <c r="B2575" s="1">
        <v>-2182</v>
      </c>
      <c r="C2575" s="1">
        <v>4850</v>
      </c>
    </row>
    <row r="2576" spans="1:3" x14ac:dyDescent="0.25">
      <c r="A2576" s="1">
        <v>7080</v>
      </c>
      <c r="B2576" s="1">
        <v>-1725</v>
      </c>
      <c r="C2576" s="1">
        <v>4850</v>
      </c>
    </row>
    <row r="2577" spans="1:3" x14ac:dyDescent="0.25">
      <c r="A2577" s="1">
        <v>7181</v>
      </c>
      <c r="B2577" s="1">
        <v>-1238</v>
      </c>
      <c r="C2577" s="1">
        <v>4850</v>
      </c>
    </row>
    <row r="2578" spans="1:3" x14ac:dyDescent="0.25">
      <c r="A2578" s="1">
        <v>7249</v>
      </c>
      <c r="B2578">
        <f>0.745</f>
        <v>0.745</v>
      </c>
      <c r="C2578" s="1">
        <v>4850</v>
      </c>
    </row>
    <row r="2579" spans="1:3" x14ac:dyDescent="0.25">
      <c r="A2579" s="1">
        <v>7283</v>
      </c>
      <c r="B2579">
        <f>0.249</f>
        <v>0.249</v>
      </c>
      <c r="C2579" s="1">
        <v>4850</v>
      </c>
    </row>
    <row r="2580" spans="1:3" x14ac:dyDescent="0.25">
      <c r="A2580" s="1">
        <v>7283</v>
      </c>
      <c r="B2580">
        <v>0.249</v>
      </c>
      <c r="C2580" s="1">
        <v>4850</v>
      </c>
    </row>
    <row r="2581" spans="1:3" x14ac:dyDescent="0.25">
      <c r="A2581" s="1">
        <v>7249</v>
      </c>
      <c r="B2581">
        <v>0.745</v>
      </c>
      <c r="C2581" s="1">
        <v>4850</v>
      </c>
    </row>
    <row r="2582" spans="1:3" x14ac:dyDescent="0.25">
      <c r="A2582" s="1">
        <v>7181</v>
      </c>
      <c r="B2582" s="1">
        <v>1238</v>
      </c>
      <c r="C2582" s="1">
        <v>4850</v>
      </c>
    </row>
    <row r="2583" spans="1:3" x14ac:dyDescent="0.25">
      <c r="A2583" s="1">
        <v>7085</v>
      </c>
      <c r="B2583" s="1">
        <v>1703</v>
      </c>
      <c r="C2583" s="1">
        <v>4850</v>
      </c>
    </row>
    <row r="2584" spans="1:3" x14ac:dyDescent="0.25">
      <c r="A2584" s="1">
        <v>6858</v>
      </c>
      <c r="B2584" s="1">
        <v>2462</v>
      </c>
      <c r="C2584" s="1">
        <v>4850</v>
      </c>
    </row>
    <row r="2585" spans="1:3" x14ac:dyDescent="0.25">
      <c r="A2585" s="1">
        <v>6684</v>
      </c>
      <c r="B2585" s="1">
        <v>2903</v>
      </c>
      <c r="C2585" s="1">
        <v>4850</v>
      </c>
    </row>
    <row r="2586" spans="1:3" x14ac:dyDescent="0.25">
      <c r="A2586" s="1">
        <v>6480</v>
      </c>
      <c r="B2586" s="1">
        <v>3332</v>
      </c>
      <c r="C2586" s="1">
        <v>4850</v>
      </c>
    </row>
    <row r="2587" spans="1:3" x14ac:dyDescent="0.25">
      <c r="A2587" s="1">
        <v>6092</v>
      </c>
      <c r="B2587" s="1">
        <v>3996</v>
      </c>
      <c r="C2587" s="1">
        <v>4850</v>
      </c>
    </row>
    <row r="2588" spans="1:3" x14ac:dyDescent="0.25">
      <c r="A2588" s="1">
        <v>5651</v>
      </c>
      <c r="B2588" s="1">
        <v>4598</v>
      </c>
      <c r="C2588" s="1">
        <v>4850</v>
      </c>
    </row>
    <row r="2589" spans="1:3" x14ac:dyDescent="0.25">
      <c r="A2589" s="1">
        <v>5151</v>
      </c>
      <c r="B2589" s="1">
        <v>5151</v>
      </c>
      <c r="C2589" s="1">
        <v>4850</v>
      </c>
    </row>
    <row r="2590" spans="1:3" x14ac:dyDescent="0.25">
      <c r="A2590" s="1">
        <v>4598</v>
      </c>
      <c r="B2590" s="1">
        <v>5651</v>
      </c>
      <c r="C2590" s="1">
        <v>4850</v>
      </c>
    </row>
    <row r="2591" spans="1:3" x14ac:dyDescent="0.25">
      <c r="A2591" s="1">
        <v>3996</v>
      </c>
      <c r="B2591" s="1">
        <v>6092</v>
      </c>
      <c r="C2591" s="1">
        <v>4850</v>
      </c>
    </row>
    <row r="2592" spans="1:3" x14ac:dyDescent="0.25">
      <c r="A2592" s="1">
        <v>3352</v>
      </c>
      <c r="B2592" s="1">
        <v>6468</v>
      </c>
      <c r="C2592" s="1">
        <v>4850</v>
      </c>
    </row>
    <row r="2593" spans="1:3" x14ac:dyDescent="0.25">
      <c r="A2593" s="1">
        <v>2673</v>
      </c>
      <c r="B2593" s="1">
        <v>6777</v>
      </c>
      <c r="C2593" s="1">
        <v>4850</v>
      </c>
    </row>
    <row r="2594" spans="1:3" x14ac:dyDescent="0.25">
      <c r="A2594" s="1">
        <v>1966</v>
      </c>
      <c r="B2594" s="1">
        <v>7015</v>
      </c>
      <c r="C2594" s="1">
        <v>4850</v>
      </c>
    </row>
    <row r="2595" spans="1:3" x14ac:dyDescent="0.25">
      <c r="A2595" s="1">
        <v>1215</v>
      </c>
      <c r="B2595" s="1">
        <v>7184</v>
      </c>
      <c r="C2595" s="1">
        <v>4850</v>
      </c>
    </row>
    <row r="2596" spans="1:3" x14ac:dyDescent="0.25">
      <c r="A2596" t="s">
        <v>12</v>
      </c>
      <c r="B2596" s="1">
        <v>7249</v>
      </c>
      <c r="C2596" s="1">
        <v>4850</v>
      </c>
    </row>
    <row r="2597" spans="1:3" x14ac:dyDescent="0.25">
      <c r="A2597" t="s">
        <v>13</v>
      </c>
      <c r="B2597" s="1">
        <v>7283</v>
      </c>
      <c r="C2597" s="1">
        <v>4850</v>
      </c>
    </row>
    <row r="2598" spans="1:3" x14ac:dyDescent="0.25">
      <c r="A2598" s="1">
        <v>-7169</v>
      </c>
      <c r="B2598" s="1">
        <v>7287</v>
      </c>
      <c r="C2598" s="1">
        <v>4850</v>
      </c>
    </row>
    <row r="2599" spans="1:3" x14ac:dyDescent="0.25">
      <c r="A2599" s="1">
        <v>-8584</v>
      </c>
      <c r="B2599" s="1">
        <v>8584</v>
      </c>
      <c r="C2599" s="1">
        <v>4850</v>
      </c>
    </row>
    <row r="2600" spans="1:3" x14ac:dyDescent="0.25">
      <c r="A2600" s="1">
        <v>-8584</v>
      </c>
      <c r="B2600" s="1">
        <v>-8584</v>
      </c>
      <c r="C2600" s="1">
        <v>4850</v>
      </c>
    </row>
    <row r="2601" spans="1:3" x14ac:dyDescent="0.25">
      <c r="A2601" t="s">
        <v>7</v>
      </c>
      <c r="B2601" s="1">
        <v>-8579</v>
      </c>
      <c r="C2601" s="1">
        <v>4850</v>
      </c>
    </row>
    <row r="2602" spans="1:3" x14ac:dyDescent="0.25">
      <c r="A2602" s="1">
        <v>1169</v>
      </c>
      <c r="B2602" s="1">
        <v>-8504</v>
      </c>
      <c r="C2602" s="1">
        <v>4850</v>
      </c>
    </row>
    <row r="2603" spans="1:3" x14ac:dyDescent="0.25">
      <c r="A2603" s="1">
        <v>1746</v>
      </c>
      <c r="B2603" s="1">
        <v>-8404</v>
      </c>
      <c r="C2603" s="1">
        <v>4850</v>
      </c>
    </row>
    <row r="2604" spans="1:3" x14ac:dyDescent="0.25">
      <c r="A2604" s="1">
        <v>2316</v>
      </c>
      <c r="B2604" s="1">
        <v>-8265</v>
      </c>
      <c r="C2604" s="1">
        <v>4850</v>
      </c>
    </row>
    <row r="2605" spans="1:3" x14ac:dyDescent="0.25">
      <c r="A2605" s="1">
        <v>2874</v>
      </c>
      <c r="B2605" s="1">
        <v>-8088</v>
      </c>
      <c r="C2605" s="1">
        <v>4850</v>
      </c>
    </row>
    <row r="2606" spans="1:3" x14ac:dyDescent="0.25">
      <c r="A2606" s="1">
        <v>3408</v>
      </c>
      <c r="B2606" s="1">
        <v>-7877</v>
      </c>
      <c r="C2606" s="1">
        <v>4850</v>
      </c>
    </row>
    <row r="2607" spans="1:3" x14ac:dyDescent="0.25">
      <c r="A2607" s="1">
        <v>4206</v>
      </c>
      <c r="B2607" s="1">
        <v>-7481</v>
      </c>
      <c r="C2607" s="1">
        <v>4850</v>
      </c>
    </row>
    <row r="2608" spans="1:3" x14ac:dyDescent="0.25">
      <c r="A2608" s="1">
        <v>4960</v>
      </c>
      <c r="B2608" s="1">
        <v>-7005</v>
      </c>
      <c r="C2608" s="1">
        <v>4850</v>
      </c>
    </row>
    <row r="2609" spans="1:3" x14ac:dyDescent="0.25">
      <c r="A2609" s="1">
        <v>5417</v>
      </c>
      <c r="B2609" s="1">
        <v>-6658</v>
      </c>
      <c r="C2609" s="1">
        <v>4850</v>
      </c>
    </row>
    <row r="2610" spans="1:3" x14ac:dyDescent="0.25">
      <c r="A2610" s="1">
        <v>5859</v>
      </c>
      <c r="B2610" s="1">
        <v>-6273</v>
      </c>
      <c r="C2610" s="1">
        <v>4850</v>
      </c>
    </row>
    <row r="2611" spans="1:3" x14ac:dyDescent="0.25">
      <c r="A2611" s="1">
        <v>6273</v>
      </c>
      <c r="B2611" s="1">
        <v>-5859</v>
      </c>
      <c r="C2611" s="1">
        <v>4850</v>
      </c>
    </row>
    <row r="2612" spans="1:3" x14ac:dyDescent="0.25">
      <c r="A2612" s="1">
        <v>6658</v>
      </c>
      <c r="B2612" s="1">
        <v>-5417</v>
      </c>
      <c r="C2612" s="1">
        <v>4850</v>
      </c>
    </row>
    <row r="2613" spans="1:3" x14ac:dyDescent="0.25">
      <c r="A2613" s="1">
        <v>7013</v>
      </c>
      <c r="B2613" s="1">
        <v>-4950</v>
      </c>
      <c r="C2613" s="1">
        <v>4850</v>
      </c>
    </row>
    <row r="2614" spans="1:3" x14ac:dyDescent="0.25">
      <c r="A2614" s="1">
        <v>7334</v>
      </c>
      <c r="B2614" s="1">
        <v>-4460</v>
      </c>
      <c r="C2614" s="1">
        <v>4850</v>
      </c>
    </row>
    <row r="2615" spans="1:3" x14ac:dyDescent="0.25">
      <c r="A2615" s="1">
        <v>7621</v>
      </c>
      <c r="B2615" s="1">
        <v>-3949</v>
      </c>
      <c r="C2615" s="1">
        <v>4850</v>
      </c>
    </row>
    <row r="2616" spans="1:3" x14ac:dyDescent="0.25">
      <c r="A2616" s="1">
        <v>7868</v>
      </c>
      <c r="B2616" s="1">
        <v>-3431</v>
      </c>
      <c r="C2616" s="1">
        <v>4850</v>
      </c>
    </row>
    <row r="2617" spans="1:3" x14ac:dyDescent="0.25">
      <c r="A2617" s="1">
        <v>8185</v>
      </c>
      <c r="B2617" s="1">
        <v>-2585</v>
      </c>
      <c r="C2617" s="1">
        <v>4850</v>
      </c>
    </row>
    <row r="2618" spans="1:3" x14ac:dyDescent="0.25">
      <c r="A2618" s="1">
        <v>8339</v>
      </c>
      <c r="B2618" s="1">
        <v>-2032</v>
      </c>
      <c r="C2618" s="1">
        <v>4850</v>
      </c>
    </row>
    <row r="2619" spans="1:3" x14ac:dyDescent="0.25">
      <c r="A2619" s="1">
        <v>8459</v>
      </c>
      <c r="B2619" s="1">
        <v>-1458</v>
      </c>
      <c r="C2619" s="1">
        <v>4850</v>
      </c>
    </row>
    <row r="2620" spans="1:3" x14ac:dyDescent="0.25">
      <c r="A2620" s="1">
        <v>8539</v>
      </c>
      <c r="B2620">
        <f>0.878</f>
        <v>0.878</v>
      </c>
      <c r="C2620" s="1">
        <v>4850</v>
      </c>
    </row>
    <row r="2621" spans="1:3" x14ac:dyDescent="0.25">
      <c r="A2621" s="1">
        <v>8579</v>
      </c>
      <c r="B2621">
        <f>0.293</f>
        <v>0.29299999999999998</v>
      </c>
      <c r="C2621" s="1">
        <v>4850</v>
      </c>
    </row>
    <row r="2622" spans="1:3" x14ac:dyDescent="0.25">
      <c r="A2622" s="1">
        <v>8579</v>
      </c>
      <c r="B2622">
        <v>0.29299999999999998</v>
      </c>
      <c r="C2622" s="1">
        <v>4850</v>
      </c>
    </row>
    <row r="2623" spans="1:3" x14ac:dyDescent="0.25">
      <c r="A2623" s="1">
        <v>8539</v>
      </c>
      <c r="B2623">
        <v>0.878</v>
      </c>
      <c r="C2623" s="1">
        <v>4850</v>
      </c>
    </row>
    <row r="2624" spans="1:3" x14ac:dyDescent="0.25">
      <c r="A2624" s="1">
        <v>8459</v>
      </c>
      <c r="B2624" s="1">
        <v>1458</v>
      </c>
      <c r="C2624" s="1">
        <v>4850</v>
      </c>
    </row>
    <row r="2625" spans="1:3" x14ac:dyDescent="0.25">
      <c r="A2625" s="1">
        <v>8342</v>
      </c>
      <c r="B2625" s="1">
        <v>2020</v>
      </c>
      <c r="C2625" s="1">
        <v>4850</v>
      </c>
    </row>
    <row r="2626" spans="1:3" x14ac:dyDescent="0.25">
      <c r="A2626" s="1">
        <v>8084</v>
      </c>
      <c r="B2626" s="1">
        <v>2886</v>
      </c>
      <c r="C2626" s="1">
        <v>4850</v>
      </c>
    </row>
    <row r="2627" spans="1:3" x14ac:dyDescent="0.25">
      <c r="A2627" s="1">
        <v>7873</v>
      </c>
      <c r="B2627" s="1">
        <v>3420</v>
      </c>
      <c r="C2627" s="1">
        <v>4850</v>
      </c>
    </row>
    <row r="2628" spans="1:3" x14ac:dyDescent="0.25">
      <c r="A2628" s="1">
        <v>7626</v>
      </c>
      <c r="B2628" s="1">
        <v>3938</v>
      </c>
      <c r="C2628" s="1">
        <v>4850</v>
      </c>
    </row>
    <row r="2629" spans="1:3" x14ac:dyDescent="0.25">
      <c r="A2629" s="1">
        <v>7177</v>
      </c>
      <c r="B2629" s="1">
        <v>4707</v>
      </c>
      <c r="C2629" s="1">
        <v>4850</v>
      </c>
    </row>
    <row r="2630" spans="1:3" x14ac:dyDescent="0.25">
      <c r="A2630" s="1">
        <v>6658</v>
      </c>
      <c r="B2630" s="1">
        <v>5416</v>
      </c>
      <c r="C2630" s="1">
        <v>4850</v>
      </c>
    </row>
    <row r="2631" spans="1:3" x14ac:dyDescent="0.25">
      <c r="A2631" s="1">
        <v>6069</v>
      </c>
      <c r="B2631" s="1">
        <v>6069</v>
      </c>
      <c r="C2631" s="1">
        <v>4850</v>
      </c>
    </row>
    <row r="2632" spans="1:3" x14ac:dyDescent="0.25">
      <c r="A2632" s="1">
        <v>5416</v>
      </c>
      <c r="B2632" s="1">
        <v>6658</v>
      </c>
      <c r="C2632" s="1">
        <v>4850</v>
      </c>
    </row>
    <row r="2633" spans="1:3" x14ac:dyDescent="0.25">
      <c r="A2633" s="1">
        <v>4707</v>
      </c>
      <c r="B2633" s="1">
        <v>7177</v>
      </c>
      <c r="C2633" s="1">
        <v>4850</v>
      </c>
    </row>
    <row r="2634" spans="1:3" x14ac:dyDescent="0.25">
      <c r="A2634" s="1">
        <v>3949</v>
      </c>
      <c r="B2634" s="1">
        <v>7620</v>
      </c>
      <c r="C2634" s="1">
        <v>4850</v>
      </c>
    </row>
    <row r="2635" spans="1:3" x14ac:dyDescent="0.25">
      <c r="A2635" s="1">
        <v>3149</v>
      </c>
      <c r="B2635" s="1">
        <v>7984</v>
      </c>
      <c r="C2635" s="1">
        <v>4850</v>
      </c>
    </row>
    <row r="2636" spans="1:3" x14ac:dyDescent="0.25">
      <c r="A2636" s="1">
        <v>2316</v>
      </c>
      <c r="B2636" s="1">
        <v>8264</v>
      </c>
      <c r="C2636" s="1">
        <v>4850</v>
      </c>
    </row>
    <row r="2637" spans="1:3" x14ac:dyDescent="0.25">
      <c r="A2637" s="1">
        <v>1446</v>
      </c>
      <c r="B2637" s="1">
        <v>8460</v>
      </c>
      <c r="C2637" s="1">
        <v>4850</v>
      </c>
    </row>
    <row r="2638" spans="1:3" x14ac:dyDescent="0.25">
      <c r="A2638" t="s">
        <v>15</v>
      </c>
      <c r="B2638" s="1">
        <v>8539</v>
      </c>
      <c r="C2638" s="1">
        <v>4850</v>
      </c>
    </row>
    <row r="2639" spans="1:3" x14ac:dyDescent="0.25">
      <c r="A2639" t="s">
        <v>14</v>
      </c>
      <c r="B2639" s="1">
        <v>8579</v>
      </c>
      <c r="C2639" s="1">
        <v>4850</v>
      </c>
    </row>
    <row r="2640" spans="1:3" x14ac:dyDescent="0.25">
      <c r="A2640" s="1">
        <v>-8464</v>
      </c>
      <c r="B2640" s="1">
        <v>8584</v>
      </c>
      <c r="C2640" s="1">
        <v>4850</v>
      </c>
    </row>
    <row r="2641" spans="1:3" x14ac:dyDescent="0.25">
      <c r="A2641" s="1">
        <v>-9600</v>
      </c>
      <c r="B2641" s="1">
        <v>9600</v>
      </c>
      <c r="C2641" s="1">
        <v>4850</v>
      </c>
    </row>
    <row r="2642" spans="1:3" x14ac:dyDescent="0.25">
      <c r="A2642" s="1">
        <v>-9600</v>
      </c>
      <c r="B2642" s="1">
        <v>-9600</v>
      </c>
      <c r="C2642" s="1">
        <v>4850</v>
      </c>
    </row>
    <row r="2643" spans="1:3" x14ac:dyDescent="0.25">
      <c r="A2643" t="s">
        <v>87</v>
      </c>
      <c r="B2643" s="1">
        <v>-9595</v>
      </c>
      <c r="C2643" s="1">
        <v>4850</v>
      </c>
    </row>
    <row r="2644" spans="1:3" x14ac:dyDescent="0.25">
      <c r="A2644" s="1">
        <v>1307</v>
      </c>
      <c r="B2644" s="1">
        <v>-9510</v>
      </c>
      <c r="C2644" s="1">
        <v>4850</v>
      </c>
    </row>
    <row r="2645" spans="1:3" x14ac:dyDescent="0.25">
      <c r="A2645" s="1">
        <v>1953</v>
      </c>
      <c r="B2645" s="1">
        <v>-9399</v>
      </c>
      <c r="C2645" s="1">
        <v>4850</v>
      </c>
    </row>
    <row r="2646" spans="1:3" x14ac:dyDescent="0.25">
      <c r="A2646" s="1">
        <v>2590</v>
      </c>
      <c r="B2646" s="1">
        <v>-9244</v>
      </c>
      <c r="C2646" s="1">
        <v>4850</v>
      </c>
    </row>
    <row r="2647" spans="1:3" x14ac:dyDescent="0.25">
      <c r="A2647" s="1">
        <v>3215</v>
      </c>
      <c r="B2647" s="1">
        <v>-9045</v>
      </c>
      <c r="C2647" s="1">
        <v>4850</v>
      </c>
    </row>
    <row r="2648" spans="1:3" x14ac:dyDescent="0.25">
      <c r="A2648" s="1">
        <v>3821</v>
      </c>
      <c r="B2648" s="1">
        <v>-8806</v>
      </c>
      <c r="C2648" s="1">
        <v>4850</v>
      </c>
    </row>
    <row r="2649" spans="1:3" x14ac:dyDescent="0.25">
      <c r="A2649" s="1">
        <v>4705</v>
      </c>
      <c r="B2649" s="1">
        <v>-8367</v>
      </c>
      <c r="C2649" s="1">
        <v>4850</v>
      </c>
    </row>
    <row r="2650" spans="1:3" x14ac:dyDescent="0.25">
      <c r="A2650" s="1">
        <v>5539</v>
      </c>
      <c r="B2650" s="1">
        <v>-7841</v>
      </c>
      <c r="C2650" s="1">
        <v>4850</v>
      </c>
    </row>
    <row r="2651" spans="1:3" x14ac:dyDescent="0.25">
      <c r="A2651" s="1">
        <v>6058</v>
      </c>
      <c r="B2651" s="1">
        <v>-7447</v>
      </c>
      <c r="C2651" s="1">
        <v>4850</v>
      </c>
    </row>
    <row r="2652" spans="1:3" x14ac:dyDescent="0.25">
      <c r="A2652" s="1">
        <v>6552</v>
      </c>
      <c r="B2652" s="1">
        <v>-7016</v>
      </c>
      <c r="C2652" s="1">
        <v>4850</v>
      </c>
    </row>
    <row r="2653" spans="1:3" x14ac:dyDescent="0.25">
      <c r="A2653" s="1">
        <v>7016</v>
      </c>
      <c r="B2653" s="1">
        <v>-6552</v>
      </c>
      <c r="C2653" s="1">
        <v>4850</v>
      </c>
    </row>
    <row r="2654" spans="1:3" x14ac:dyDescent="0.25">
      <c r="A2654" s="1">
        <v>7447</v>
      </c>
      <c r="B2654" s="1">
        <v>-6058</v>
      </c>
      <c r="C2654" s="1">
        <v>4850</v>
      </c>
    </row>
    <row r="2655" spans="1:3" x14ac:dyDescent="0.25">
      <c r="A2655" s="1">
        <v>7843</v>
      </c>
      <c r="B2655" s="1">
        <v>-5536</v>
      </c>
      <c r="C2655" s="1">
        <v>4850</v>
      </c>
    </row>
    <row r="2656" spans="1:3" x14ac:dyDescent="0.25">
      <c r="A2656" s="1">
        <v>8202</v>
      </c>
      <c r="B2656" s="1">
        <v>-4988</v>
      </c>
      <c r="C2656" s="1">
        <v>4850</v>
      </c>
    </row>
    <row r="2657" spans="1:3" x14ac:dyDescent="0.25">
      <c r="A2657" s="1">
        <v>8523</v>
      </c>
      <c r="B2657" s="1">
        <v>-4417</v>
      </c>
      <c r="C2657" s="1">
        <v>4850</v>
      </c>
    </row>
    <row r="2658" spans="1:3" x14ac:dyDescent="0.25">
      <c r="A2658" s="1">
        <v>8804</v>
      </c>
      <c r="B2658" s="1">
        <v>-3828</v>
      </c>
      <c r="C2658" s="1">
        <v>4850</v>
      </c>
    </row>
    <row r="2659" spans="1:3" x14ac:dyDescent="0.25">
      <c r="A2659" s="1">
        <v>9151</v>
      </c>
      <c r="B2659" s="1">
        <v>-2901</v>
      </c>
      <c r="C2659" s="1">
        <v>4850</v>
      </c>
    </row>
    <row r="2660" spans="1:3" x14ac:dyDescent="0.25">
      <c r="A2660" s="1">
        <v>9327</v>
      </c>
      <c r="B2660" s="1">
        <v>-2273</v>
      </c>
      <c r="C2660" s="1">
        <v>4850</v>
      </c>
    </row>
    <row r="2661" spans="1:3" x14ac:dyDescent="0.25">
      <c r="A2661" s="1">
        <v>9460</v>
      </c>
      <c r="B2661" s="1">
        <v>-1631</v>
      </c>
      <c r="C2661" s="1">
        <v>4850</v>
      </c>
    </row>
    <row r="2662" spans="1:3" x14ac:dyDescent="0.25">
      <c r="A2662" s="1">
        <v>9549</v>
      </c>
      <c r="B2662">
        <f>0.982</f>
        <v>0.98199999999999998</v>
      </c>
      <c r="C2662" s="1">
        <v>4850</v>
      </c>
    </row>
    <row r="2663" spans="1:3" x14ac:dyDescent="0.25">
      <c r="A2663" s="1">
        <v>9594</v>
      </c>
      <c r="B2663">
        <f>0.328</f>
        <v>0.32800000000000001</v>
      </c>
      <c r="C2663" s="1">
        <v>4850</v>
      </c>
    </row>
    <row r="2664" spans="1:3" x14ac:dyDescent="0.25">
      <c r="A2664" s="1">
        <v>9594</v>
      </c>
      <c r="B2664">
        <v>0.32800000000000001</v>
      </c>
      <c r="C2664" s="1">
        <v>4850</v>
      </c>
    </row>
    <row r="2665" spans="1:3" x14ac:dyDescent="0.25">
      <c r="A2665" s="1">
        <v>9549</v>
      </c>
      <c r="B2665">
        <v>0.98199999999999998</v>
      </c>
      <c r="C2665" s="1">
        <v>4850</v>
      </c>
    </row>
    <row r="2666" spans="1:3" x14ac:dyDescent="0.25">
      <c r="A2666" s="1">
        <v>9460</v>
      </c>
      <c r="B2666" s="1">
        <v>1631</v>
      </c>
      <c r="C2666" s="1">
        <v>4850</v>
      </c>
    </row>
    <row r="2667" spans="1:3" x14ac:dyDescent="0.25">
      <c r="A2667" s="1">
        <v>9328</v>
      </c>
      <c r="B2667" s="1">
        <v>2270</v>
      </c>
      <c r="C2667" s="1">
        <v>4850</v>
      </c>
    </row>
    <row r="2668" spans="1:3" x14ac:dyDescent="0.25">
      <c r="A2668" s="1">
        <v>9044</v>
      </c>
      <c r="B2668" s="1">
        <v>3218</v>
      </c>
      <c r="C2668" s="1">
        <v>4850</v>
      </c>
    </row>
    <row r="2669" spans="1:3" x14ac:dyDescent="0.25">
      <c r="A2669" s="1">
        <v>8805</v>
      </c>
      <c r="B2669" s="1">
        <v>3825</v>
      </c>
      <c r="C2669" s="1">
        <v>4850</v>
      </c>
    </row>
    <row r="2670" spans="1:3" x14ac:dyDescent="0.25">
      <c r="A2670" s="1">
        <v>8525</v>
      </c>
      <c r="B2670" s="1">
        <v>4413</v>
      </c>
      <c r="C2670" s="1">
        <v>4850</v>
      </c>
    </row>
    <row r="2671" spans="1:3" x14ac:dyDescent="0.25">
      <c r="A2671" s="1">
        <v>8027</v>
      </c>
      <c r="B2671" s="1">
        <v>5265</v>
      </c>
      <c r="C2671" s="1">
        <v>4850</v>
      </c>
    </row>
    <row r="2672" spans="1:3" x14ac:dyDescent="0.25">
      <c r="A2672" s="1">
        <v>7446</v>
      </c>
      <c r="B2672" s="1">
        <v>6058</v>
      </c>
      <c r="C2672" s="1">
        <v>4850</v>
      </c>
    </row>
    <row r="2673" spans="1:3" x14ac:dyDescent="0.25">
      <c r="A2673" s="1">
        <v>6788</v>
      </c>
      <c r="B2673" s="1">
        <v>6788</v>
      </c>
      <c r="C2673" s="1">
        <v>4850</v>
      </c>
    </row>
    <row r="2674" spans="1:3" x14ac:dyDescent="0.25">
      <c r="A2674" s="1">
        <v>6058</v>
      </c>
      <c r="B2674" s="1">
        <v>7446</v>
      </c>
      <c r="C2674" s="1">
        <v>4850</v>
      </c>
    </row>
    <row r="2675" spans="1:3" x14ac:dyDescent="0.25">
      <c r="A2675" s="1">
        <v>5265</v>
      </c>
      <c r="B2675" s="1">
        <v>8027</v>
      </c>
      <c r="C2675" s="1">
        <v>4850</v>
      </c>
    </row>
    <row r="2676" spans="1:3" x14ac:dyDescent="0.25">
      <c r="A2676" s="1">
        <v>4416</v>
      </c>
      <c r="B2676" s="1">
        <v>8523</v>
      </c>
      <c r="C2676" s="1">
        <v>4850</v>
      </c>
    </row>
    <row r="2677" spans="1:3" x14ac:dyDescent="0.25">
      <c r="A2677" s="1">
        <v>3522</v>
      </c>
      <c r="B2677" s="1">
        <v>8930</v>
      </c>
      <c r="C2677" s="1">
        <v>4850</v>
      </c>
    </row>
    <row r="2678" spans="1:3" x14ac:dyDescent="0.25">
      <c r="A2678" s="1">
        <v>2590</v>
      </c>
      <c r="B2678" s="1">
        <v>9243</v>
      </c>
      <c r="C2678" s="1">
        <v>4850</v>
      </c>
    </row>
    <row r="2679" spans="1:3" x14ac:dyDescent="0.25">
      <c r="A2679" s="1">
        <v>1628</v>
      </c>
      <c r="B2679" s="1">
        <v>9461</v>
      </c>
      <c r="C2679" s="1">
        <v>4850</v>
      </c>
    </row>
    <row r="2680" spans="1:3" x14ac:dyDescent="0.25">
      <c r="A2680" t="s">
        <v>18</v>
      </c>
      <c r="B2680" s="1">
        <v>9549</v>
      </c>
      <c r="C2680" s="1">
        <v>4850</v>
      </c>
    </row>
    <row r="2681" spans="1:3" x14ac:dyDescent="0.25">
      <c r="A2681" t="s">
        <v>17</v>
      </c>
      <c r="B2681" s="1">
        <v>9594</v>
      </c>
      <c r="C2681" s="1">
        <v>4850</v>
      </c>
    </row>
    <row r="2682" spans="1:3" x14ac:dyDescent="0.25">
      <c r="A2682" s="1">
        <v>-9480</v>
      </c>
      <c r="B2682" s="1">
        <v>9600</v>
      </c>
      <c r="C2682" s="1">
        <v>4850</v>
      </c>
    </row>
    <row r="2683" spans="1:3" x14ac:dyDescent="0.25">
      <c r="A2683" s="1">
        <v>-9201</v>
      </c>
      <c r="B2683" s="1">
        <v>8906</v>
      </c>
      <c r="C2683" s="1">
        <v>4850</v>
      </c>
    </row>
    <row r="2684" spans="1:3" x14ac:dyDescent="0.25">
      <c r="A2684" s="1">
        <v>-5489</v>
      </c>
      <c r="B2684" s="1">
        <v>6495</v>
      </c>
      <c r="C2684" s="1">
        <v>4850</v>
      </c>
    </row>
    <row r="2685" spans="1:3" x14ac:dyDescent="0.25">
      <c r="A2685" s="1">
        <v>-6497</v>
      </c>
      <c r="B2685" s="1">
        <v>5487</v>
      </c>
      <c r="C2685" s="1">
        <v>4850</v>
      </c>
    </row>
    <row r="2686" spans="1:3" x14ac:dyDescent="0.25">
      <c r="A2686" s="1">
        <v>-6497</v>
      </c>
      <c r="B2686" s="1">
        <v>3628</v>
      </c>
      <c r="C2686" s="1">
        <v>4850</v>
      </c>
    </row>
    <row r="2687" spans="1:3" x14ac:dyDescent="0.25">
      <c r="A2687" s="1">
        <v>-3631</v>
      </c>
      <c r="B2687" s="1">
        <v>6494</v>
      </c>
      <c r="C2687" s="1">
        <v>4850</v>
      </c>
    </row>
    <row r="2688" spans="1:3" x14ac:dyDescent="0.25">
      <c r="A2688" s="1">
        <v>-1773</v>
      </c>
      <c r="B2688" s="1">
        <v>6493</v>
      </c>
      <c r="C2688" s="1">
        <v>4850</v>
      </c>
    </row>
    <row r="2689" spans="1:3" x14ac:dyDescent="0.25">
      <c r="A2689" s="1">
        <v>-6497</v>
      </c>
      <c r="B2689" s="1">
        <v>1768</v>
      </c>
      <c r="C2689" s="1">
        <v>4850</v>
      </c>
    </row>
    <row r="2690" spans="1:3" x14ac:dyDescent="0.25">
      <c r="A2690" s="1">
        <v>-6497</v>
      </c>
      <c r="B2690">
        <f>0.091</f>
        <v>9.0999999999999998E-2</v>
      </c>
      <c r="C2690" s="1">
        <v>4850</v>
      </c>
    </row>
    <row r="2691" spans="1:3" x14ac:dyDescent="0.25">
      <c r="A2691" t="s">
        <v>19</v>
      </c>
      <c r="B2691" s="1">
        <v>6492</v>
      </c>
      <c r="C2691" s="1">
        <v>4850</v>
      </c>
    </row>
    <row r="2692" spans="1:3" x14ac:dyDescent="0.25">
      <c r="A2692" t="s">
        <v>20</v>
      </c>
      <c r="B2692" s="1">
        <v>6491</v>
      </c>
      <c r="C2692" s="1">
        <v>4850</v>
      </c>
    </row>
    <row r="2693" spans="1:3" x14ac:dyDescent="0.25">
      <c r="A2693" s="1">
        <v>1117</v>
      </c>
      <c r="B2693" s="1">
        <v>6463</v>
      </c>
      <c r="C2693" s="1">
        <v>4850</v>
      </c>
    </row>
    <row r="2694" spans="1:3" x14ac:dyDescent="0.25">
      <c r="A2694" s="1">
        <v>1488</v>
      </c>
      <c r="B2694" s="1">
        <v>6412</v>
      </c>
      <c r="C2694" s="1">
        <v>4850</v>
      </c>
    </row>
    <row r="2695" spans="1:3" x14ac:dyDescent="0.25">
      <c r="A2695" s="1">
        <v>1796</v>
      </c>
      <c r="B2695" s="1">
        <v>6343</v>
      </c>
      <c r="C2695" s="1">
        <v>4850</v>
      </c>
    </row>
    <row r="2696" spans="1:3" x14ac:dyDescent="0.25">
      <c r="A2696" s="1">
        <v>-6497</v>
      </c>
      <c r="B2696" s="1">
        <v>-1950</v>
      </c>
      <c r="C2696" s="1">
        <v>4850</v>
      </c>
    </row>
    <row r="2697" spans="1:3" x14ac:dyDescent="0.25">
      <c r="A2697" s="1">
        <v>-6497</v>
      </c>
      <c r="B2697" s="1">
        <v>-3809</v>
      </c>
      <c r="C2697" s="1">
        <v>4850</v>
      </c>
    </row>
    <row r="2698" spans="1:3" x14ac:dyDescent="0.25">
      <c r="A2698" s="1">
        <v>3172</v>
      </c>
      <c r="B2698" s="1">
        <v>5860</v>
      </c>
      <c r="C2698" s="1">
        <v>4850</v>
      </c>
    </row>
    <row r="2699" spans="1:3" x14ac:dyDescent="0.25">
      <c r="A2699" s="1">
        <v>3788</v>
      </c>
      <c r="B2699" s="1">
        <v>5511</v>
      </c>
      <c r="C2699" s="1">
        <v>4850</v>
      </c>
    </row>
    <row r="2700" spans="1:3" x14ac:dyDescent="0.25">
      <c r="A2700" s="1">
        <v>4302</v>
      </c>
      <c r="B2700" s="1">
        <v>5131</v>
      </c>
      <c r="C2700" s="1">
        <v>4850</v>
      </c>
    </row>
    <row r="2701" spans="1:3" x14ac:dyDescent="0.25">
      <c r="A2701" s="1">
        <v>-6497</v>
      </c>
      <c r="B2701" s="1">
        <v>-5668</v>
      </c>
      <c r="C2701" s="1">
        <v>4850</v>
      </c>
    </row>
    <row r="2702" spans="1:3" x14ac:dyDescent="0.25">
      <c r="A2702" s="1">
        <v>-6497</v>
      </c>
      <c r="B2702" s="1">
        <v>-6495</v>
      </c>
      <c r="C2702" s="1">
        <v>4850</v>
      </c>
    </row>
    <row r="2703" spans="1:3" x14ac:dyDescent="0.25">
      <c r="A2703" s="1">
        <v>-5464</v>
      </c>
      <c r="B2703" s="1">
        <v>-6494</v>
      </c>
      <c r="C2703" s="1">
        <v>4850</v>
      </c>
    </row>
    <row r="2704" spans="1:3" x14ac:dyDescent="0.25">
      <c r="A2704" s="1">
        <v>5218</v>
      </c>
      <c r="B2704" s="1">
        <v>4188</v>
      </c>
      <c r="C2704" s="1">
        <v>4850</v>
      </c>
    </row>
    <row r="2705" spans="1:3" x14ac:dyDescent="0.25">
      <c r="A2705" s="1">
        <v>5511</v>
      </c>
      <c r="B2705" s="1">
        <v>3788</v>
      </c>
      <c r="C2705" s="1">
        <v>4850</v>
      </c>
    </row>
    <row r="2706" spans="1:3" x14ac:dyDescent="0.25">
      <c r="A2706" s="1">
        <v>5838</v>
      </c>
      <c r="B2706" s="1">
        <v>3229</v>
      </c>
      <c r="C2706" s="1">
        <v>4850</v>
      </c>
    </row>
    <row r="2707" spans="1:3" x14ac:dyDescent="0.25">
      <c r="A2707" s="1">
        <v>5928</v>
      </c>
      <c r="B2707" s="1">
        <v>3039</v>
      </c>
      <c r="C2707" s="1">
        <v>4850</v>
      </c>
    </row>
    <row r="2708" spans="1:3" x14ac:dyDescent="0.25">
      <c r="A2708" s="1">
        <v>-3604</v>
      </c>
      <c r="B2708" s="1">
        <v>-6493</v>
      </c>
      <c r="C2708" s="1">
        <v>4850</v>
      </c>
    </row>
    <row r="2709" spans="1:3" x14ac:dyDescent="0.25">
      <c r="A2709" s="1">
        <v>-1744</v>
      </c>
      <c r="B2709" s="1">
        <v>-6492</v>
      </c>
      <c r="C2709" s="1">
        <v>4850</v>
      </c>
    </row>
    <row r="2710" spans="1:3" x14ac:dyDescent="0.25">
      <c r="A2710" s="1">
        <v>6384</v>
      </c>
      <c r="B2710" s="1">
        <v>1635</v>
      </c>
      <c r="C2710" s="1">
        <v>4850</v>
      </c>
    </row>
    <row r="2711" spans="1:3" x14ac:dyDescent="0.25">
      <c r="A2711" s="1">
        <v>6463</v>
      </c>
      <c r="B2711" s="1">
        <v>1117</v>
      </c>
      <c r="C2711" s="1">
        <v>4850</v>
      </c>
    </row>
    <row r="2712" spans="1:3" x14ac:dyDescent="0.25">
      <c r="A2712" s="1">
        <v>6491</v>
      </c>
      <c r="B2712">
        <v>0.70799999999999996</v>
      </c>
      <c r="C2712" s="1">
        <v>4850</v>
      </c>
    </row>
    <row r="2713" spans="1:3" x14ac:dyDescent="0.25">
      <c r="A2713" s="1">
        <v>6491</v>
      </c>
      <c r="B2713">
        <v>0.29899999999999999</v>
      </c>
      <c r="C2713" s="1">
        <v>4850</v>
      </c>
    </row>
    <row r="2714" spans="1:3" x14ac:dyDescent="0.25">
      <c r="A2714" s="1">
        <v>6458</v>
      </c>
      <c r="B2714">
        <f>0.15</f>
        <v>0.15</v>
      </c>
      <c r="C2714" s="1">
        <v>4850</v>
      </c>
    </row>
    <row r="2715" spans="1:3" x14ac:dyDescent="0.25">
      <c r="A2715" t="s">
        <v>88</v>
      </c>
      <c r="B2715" s="1">
        <v>-6451</v>
      </c>
      <c r="C2715" s="1">
        <v>4850</v>
      </c>
    </row>
    <row r="2716" spans="1:3" x14ac:dyDescent="0.25">
      <c r="A2716" t="s">
        <v>21</v>
      </c>
      <c r="B2716" s="1">
        <v>-6369</v>
      </c>
      <c r="C2716" s="1">
        <v>4850</v>
      </c>
    </row>
    <row r="2717" spans="1:3" x14ac:dyDescent="0.25">
      <c r="A2717" s="1">
        <v>1112</v>
      </c>
      <c r="B2717" s="1">
        <v>-6273</v>
      </c>
      <c r="C2717" s="1">
        <v>4850</v>
      </c>
    </row>
    <row r="2718" spans="1:3" x14ac:dyDescent="0.25">
      <c r="A2718" s="1">
        <v>1502</v>
      </c>
      <c r="B2718" s="1">
        <v>-6149</v>
      </c>
      <c r="C2718" s="1">
        <v>4850</v>
      </c>
    </row>
    <row r="2719" spans="1:3" x14ac:dyDescent="0.25">
      <c r="A2719" s="1">
        <v>1851</v>
      </c>
      <c r="B2719" s="1">
        <v>-6011</v>
      </c>
      <c r="C2719" s="1">
        <v>4850</v>
      </c>
    </row>
    <row r="2720" spans="1:3" x14ac:dyDescent="0.25">
      <c r="A2720" s="1">
        <v>2431</v>
      </c>
      <c r="B2720" s="1">
        <v>-5723</v>
      </c>
      <c r="C2720" s="1">
        <v>4850</v>
      </c>
    </row>
    <row r="2721" spans="1:3" x14ac:dyDescent="0.25">
      <c r="A2721" s="1">
        <v>2978</v>
      </c>
      <c r="B2721" s="1">
        <v>-5378</v>
      </c>
      <c r="C2721" s="1">
        <v>4850</v>
      </c>
    </row>
    <row r="2722" spans="1:3" x14ac:dyDescent="0.25">
      <c r="A2722" s="1">
        <v>3277</v>
      </c>
      <c r="B2722" s="1">
        <v>-5151</v>
      </c>
      <c r="C2722" s="1">
        <v>4850</v>
      </c>
    </row>
    <row r="2723" spans="1:3" x14ac:dyDescent="0.25">
      <c r="A2723" s="1">
        <v>3584</v>
      </c>
      <c r="B2723" s="1">
        <v>-4883</v>
      </c>
      <c r="C2723" s="1">
        <v>4850</v>
      </c>
    </row>
    <row r="2724" spans="1:3" x14ac:dyDescent="0.25">
      <c r="A2724" s="1">
        <v>4883</v>
      </c>
      <c r="B2724" s="1">
        <v>-3584</v>
      </c>
      <c r="C2724" s="1">
        <v>4850</v>
      </c>
    </row>
    <row r="2725" spans="1:3" x14ac:dyDescent="0.25">
      <c r="A2725" s="1">
        <v>4883</v>
      </c>
      <c r="B2725" s="1">
        <v>-3584</v>
      </c>
      <c r="C2725" s="1">
        <v>5150</v>
      </c>
    </row>
    <row r="2726" spans="1:3" x14ac:dyDescent="0.25">
      <c r="A2726" s="1">
        <v>-7289</v>
      </c>
      <c r="B2726" s="1">
        <v>7287</v>
      </c>
      <c r="C2726" s="1">
        <v>5150</v>
      </c>
    </row>
    <row r="2727" spans="1:3" x14ac:dyDescent="0.25">
      <c r="A2727" s="1">
        <v>-7289</v>
      </c>
      <c r="B2727" s="1">
        <v>-7287</v>
      </c>
      <c r="C2727" s="1">
        <v>5150</v>
      </c>
    </row>
    <row r="2728" spans="1:3" x14ac:dyDescent="0.25">
      <c r="A2728" t="s">
        <v>13</v>
      </c>
      <c r="B2728" s="1">
        <v>-7283</v>
      </c>
      <c r="C2728" s="1">
        <v>5150</v>
      </c>
    </row>
    <row r="2729" spans="1:3" x14ac:dyDescent="0.25">
      <c r="A2729" t="s">
        <v>12</v>
      </c>
      <c r="B2729" s="1">
        <v>-7249</v>
      </c>
      <c r="C2729" s="1">
        <v>5150</v>
      </c>
    </row>
    <row r="2730" spans="1:3" x14ac:dyDescent="0.25">
      <c r="A2730" s="1">
        <v>1215</v>
      </c>
      <c r="B2730" s="1">
        <v>-7184</v>
      </c>
      <c r="C2730" s="1">
        <v>5150</v>
      </c>
    </row>
    <row r="2731" spans="1:3" x14ac:dyDescent="0.25">
      <c r="A2731" s="1">
        <v>1988</v>
      </c>
      <c r="B2731" s="1">
        <v>-7010</v>
      </c>
      <c r="C2731" s="1">
        <v>5150</v>
      </c>
    </row>
    <row r="2732" spans="1:3" x14ac:dyDescent="0.25">
      <c r="A2732" s="1">
        <v>2440</v>
      </c>
      <c r="B2732" s="1">
        <v>-6866</v>
      </c>
      <c r="C2732" s="1">
        <v>5150</v>
      </c>
    </row>
    <row r="2733" spans="1:3" x14ac:dyDescent="0.25">
      <c r="A2733" s="1">
        <v>2903</v>
      </c>
      <c r="B2733" s="1">
        <v>-6684</v>
      </c>
      <c r="C2733" s="1">
        <v>5150</v>
      </c>
    </row>
    <row r="2734" spans="1:3" x14ac:dyDescent="0.25">
      <c r="A2734" s="1">
        <v>3353</v>
      </c>
      <c r="B2734" s="1">
        <v>-6470</v>
      </c>
      <c r="C2734" s="1">
        <v>5150</v>
      </c>
    </row>
    <row r="2735" spans="1:3" x14ac:dyDescent="0.25">
      <c r="A2735" s="1">
        <v>3766</v>
      </c>
      <c r="B2735" s="1">
        <v>-6238</v>
      </c>
      <c r="C2735" s="1">
        <v>5150</v>
      </c>
    </row>
    <row r="2736" spans="1:3" x14ac:dyDescent="0.25">
      <c r="A2736" s="1">
        <v>4421</v>
      </c>
      <c r="B2736" s="1">
        <v>-5792</v>
      </c>
      <c r="C2736" s="1">
        <v>5150</v>
      </c>
    </row>
    <row r="2737" spans="1:3" x14ac:dyDescent="0.25">
      <c r="A2737" s="1">
        <v>4789</v>
      </c>
      <c r="B2737" s="1">
        <v>-5492</v>
      </c>
      <c r="C2737" s="1">
        <v>5150</v>
      </c>
    </row>
    <row r="2738" spans="1:3" x14ac:dyDescent="0.25">
      <c r="A2738" s="1">
        <v>5136</v>
      </c>
      <c r="B2738" s="1">
        <v>-5169</v>
      </c>
      <c r="C2738" s="1">
        <v>5150</v>
      </c>
    </row>
    <row r="2739" spans="1:3" x14ac:dyDescent="0.25">
      <c r="A2739" s="1">
        <v>5667</v>
      </c>
      <c r="B2739" s="1">
        <v>-4580</v>
      </c>
      <c r="C2739" s="1">
        <v>5150</v>
      </c>
    </row>
    <row r="2740" spans="1:3" x14ac:dyDescent="0.25">
      <c r="A2740" s="1">
        <v>5953</v>
      </c>
      <c r="B2740" s="1">
        <v>-4202</v>
      </c>
      <c r="C2740" s="1">
        <v>5150</v>
      </c>
    </row>
    <row r="2741" spans="1:3" x14ac:dyDescent="0.25">
      <c r="A2741" s="1">
        <v>6226</v>
      </c>
      <c r="B2741" s="1">
        <v>-3786</v>
      </c>
      <c r="C2741" s="1">
        <v>5150</v>
      </c>
    </row>
    <row r="2742" spans="1:3" x14ac:dyDescent="0.25">
      <c r="A2742" s="1">
        <v>6470</v>
      </c>
      <c r="B2742" s="1">
        <v>-3353</v>
      </c>
      <c r="C2742" s="1">
        <v>5150</v>
      </c>
    </row>
    <row r="2743" spans="1:3" x14ac:dyDescent="0.25">
      <c r="A2743" s="1">
        <v>6684</v>
      </c>
      <c r="B2743" s="1">
        <v>-2903</v>
      </c>
      <c r="C2743" s="1">
        <v>5150</v>
      </c>
    </row>
    <row r="2744" spans="1:3" x14ac:dyDescent="0.25">
      <c r="A2744" s="1">
        <v>6866</v>
      </c>
      <c r="B2744" s="1">
        <v>-2440</v>
      </c>
      <c r="C2744" s="1">
        <v>5150</v>
      </c>
    </row>
    <row r="2745" spans="1:3" x14ac:dyDescent="0.25">
      <c r="A2745" s="1">
        <v>7017</v>
      </c>
      <c r="B2745" s="1">
        <v>-1966</v>
      </c>
      <c r="C2745" s="1">
        <v>5150</v>
      </c>
    </row>
    <row r="2746" spans="1:3" x14ac:dyDescent="0.25">
      <c r="A2746" s="1">
        <v>7135</v>
      </c>
      <c r="B2746" s="1">
        <v>-1483</v>
      </c>
      <c r="C2746" s="1">
        <v>5150</v>
      </c>
    </row>
    <row r="2747" spans="1:3" x14ac:dyDescent="0.25">
      <c r="A2747" s="1">
        <v>7215</v>
      </c>
      <c r="B2747" s="1">
        <v>-1015</v>
      </c>
      <c r="C2747" s="1">
        <v>5150</v>
      </c>
    </row>
    <row r="2748" spans="1:3" x14ac:dyDescent="0.25">
      <c r="A2748" s="1">
        <v>7283</v>
      </c>
      <c r="B2748">
        <f>0.226</f>
        <v>0.22600000000000001</v>
      </c>
      <c r="C2748" s="1">
        <v>5150</v>
      </c>
    </row>
    <row r="2749" spans="1:3" x14ac:dyDescent="0.25">
      <c r="A2749" s="1">
        <v>7283</v>
      </c>
      <c r="B2749">
        <v>0.249</v>
      </c>
      <c r="C2749" s="1">
        <v>5150</v>
      </c>
    </row>
    <row r="2750" spans="1:3" x14ac:dyDescent="0.25">
      <c r="A2750" s="1">
        <v>7249</v>
      </c>
      <c r="B2750">
        <v>0.745</v>
      </c>
      <c r="C2750" s="1">
        <v>5150</v>
      </c>
    </row>
    <row r="2751" spans="1:3" x14ac:dyDescent="0.25">
      <c r="A2751" s="1">
        <v>7181</v>
      </c>
      <c r="B2751" s="1">
        <v>1238</v>
      </c>
      <c r="C2751" s="1">
        <v>5150</v>
      </c>
    </row>
    <row r="2752" spans="1:3" x14ac:dyDescent="0.25">
      <c r="A2752" s="1">
        <v>7085</v>
      </c>
      <c r="B2752" s="1">
        <v>1703</v>
      </c>
      <c r="C2752" s="1">
        <v>5150</v>
      </c>
    </row>
    <row r="2753" spans="1:3" x14ac:dyDescent="0.25">
      <c r="A2753" s="1">
        <v>6858</v>
      </c>
      <c r="B2753" s="1">
        <v>2462</v>
      </c>
      <c r="C2753" s="1">
        <v>5150</v>
      </c>
    </row>
    <row r="2754" spans="1:3" x14ac:dyDescent="0.25">
      <c r="A2754" s="1">
        <v>6684</v>
      </c>
      <c r="B2754" s="1">
        <v>2903</v>
      </c>
      <c r="C2754" s="1">
        <v>5150</v>
      </c>
    </row>
    <row r="2755" spans="1:3" x14ac:dyDescent="0.25">
      <c r="A2755" s="1">
        <v>6480</v>
      </c>
      <c r="B2755" s="1">
        <v>3332</v>
      </c>
      <c r="C2755" s="1">
        <v>5150</v>
      </c>
    </row>
    <row r="2756" spans="1:3" x14ac:dyDescent="0.25">
      <c r="A2756" s="1">
        <v>6092</v>
      </c>
      <c r="B2756" s="1">
        <v>3996</v>
      </c>
      <c r="C2756" s="1">
        <v>5150</v>
      </c>
    </row>
    <row r="2757" spans="1:3" x14ac:dyDescent="0.25">
      <c r="A2757" s="1">
        <v>5651</v>
      </c>
      <c r="B2757" s="1">
        <v>4598</v>
      </c>
      <c r="C2757" s="1">
        <v>5150</v>
      </c>
    </row>
    <row r="2758" spans="1:3" x14ac:dyDescent="0.25">
      <c r="A2758" s="1">
        <v>5151</v>
      </c>
      <c r="B2758" s="1">
        <v>5151</v>
      </c>
      <c r="C2758" s="1">
        <v>5150</v>
      </c>
    </row>
    <row r="2759" spans="1:3" x14ac:dyDescent="0.25">
      <c r="A2759" s="1">
        <v>4598</v>
      </c>
      <c r="B2759" s="1">
        <v>5651</v>
      </c>
      <c r="C2759" s="1">
        <v>5150</v>
      </c>
    </row>
    <row r="2760" spans="1:3" x14ac:dyDescent="0.25">
      <c r="A2760" s="1">
        <v>3996</v>
      </c>
      <c r="B2760" s="1">
        <v>6092</v>
      </c>
      <c r="C2760" s="1">
        <v>5150</v>
      </c>
    </row>
    <row r="2761" spans="1:3" x14ac:dyDescent="0.25">
      <c r="A2761" s="1">
        <v>3352</v>
      </c>
      <c r="B2761" s="1">
        <v>6468</v>
      </c>
      <c r="C2761" s="1">
        <v>5150</v>
      </c>
    </row>
    <row r="2762" spans="1:3" x14ac:dyDescent="0.25">
      <c r="A2762" s="1">
        <v>2673</v>
      </c>
      <c r="B2762" s="1">
        <v>6777</v>
      </c>
      <c r="C2762" s="1">
        <v>5150</v>
      </c>
    </row>
    <row r="2763" spans="1:3" x14ac:dyDescent="0.25">
      <c r="A2763" s="1">
        <v>1966</v>
      </c>
      <c r="B2763" s="1">
        <v>7015</v>
      </c>
      <c r="C2763" s="1">
        <v>5150</v>
      </c>
    </row>
    <row r="2764" spans="1:3" x14ac:dyDescent="0.25">
      <c r="A2764" s="1">
        <v>1215</v>
      </c>
      <c r="B2764" s="1">
        <v>7184</v>
      </c>
      <c r="C2764" s="1">
        <v>5150</v>
      </c>
    </row>
    <row r="2765" spans="1:3" x14ac:dyDescent="0.25">
      <c r="A2765" t="s">
        <v>12</v>
      </c>
      <c r="B2765" s="1">
        <v>7249</v>
      </c>
      <c r="C2765" s="1">
        <v>5150</v>
      </c>
    </row>
    <row r="2766" spans="1:3" x14ac:dyDescent="0.25">
      <c r="A2766" t="s">
        <v>13</v>
      </c>
      <c r="B2766" s="1">
        <v>7283</v>
      </c>
      <c r="C2766" s="1">
        <v>5150</v>
      </c>
    </row>
    <row r="2767" spans="1:3" x14ac:dyDescent="0.25">
      <c r="A2767" s="1">
        <v>-7169</v>
      </c>
      <c r="B2767" s="1">
        <v>7287</v>
      </c>
      <c r="C2767" s="1">
        <v>5150</v>
      </c>
    </row>
    <row r="2768" spans="1:3" x14ac:dyDescent="0.25">
      <c r="A2768" s="1">
        <v>-8584</v>
      </c>
      <c r="B2768" s="1">
        <v>8584</v>
      </c>
      <c r="C2768" s="1">
        <v>5150</v>
      </c>
    </row>
    <row r="2769" spans="1:3" x14ac:dyDescent="0.25">
      <c r="A2769" s="1">
        <v>-8584</v>
      </c>
      <c r="B2769" s="1">
        <v>-8584</v>
      </c>
      <c r="C2769" s="1">
        <v>5150</v>
      </c>
    </row>
    <row r="2770" spans="1:3" x14ac:dyDescent="0.25">
      <c r="A2770" t="s">
        <v>14</v>
      </c>
      <c r="B2770" s="1">
        <v>-8579</v>
      </c>
      <c r="C2770" s="1">
        <v>5150</v>
      </c>
    </row>
    <row r="2771" spans="1:3" x14ac:dyDescent="0.25">
      <c r="A2771" t="s">
        <v>15</v>
      </c>
      <c r="B2771" s="1">
        <v>-8539</v>
      </c>
      <c r="C2771" s="1">
        <v>5150</v>
      </c>
    </row>
    <row r="2772" spans="1:3" x14ac:dyDescent="0.25">
      <c r="A2772" s="1">
        <v>1446</v>
      </c>
      <c r="B2772" s="1">
        <v>-8460</v>
      </c>
      <c r="C2772" s="1">
        <v>5150</v>
      </c>
    </row>
    <row r="2773" spans="1:3" x14ac:dyDescent="0.25">
      <c r="A2773" s="1">
        <v>2327</v>
      </c>
      <c r="B2773" s="1">
        <v>-8262</v>
      </c>
      <c r="C2773" s="1">
        <v>5150</v>
      </c>
    </row>
    <row r="2774" spans="1:3" x14ac:dyDescent="0.25">
      <c r="A2774" s="1">
        <v>2874</v>
      </c>
      <c r="B2774" s="1">
        <v>-8088</v>
      </c>
      <c r="C2774" s="1">
        <v>5150</v>
      </c>
    </row>
    <row r="2775" spans="1:3" x14ac:dyDescent="0.25">
      <c r="A2775" s="1">
        <v>3420</v>
      </c>
      <c r="B2775" s="1">
        <v>-7873</v>
      </c>
      <c r="C2775" s="1">
        <v>5150</v>
      </c>
    </row>
    <row r="2776" spans="1:3" x14ac:dyDescent="0.25">
      <c r="A2776" s="1">
        <v>3949</v>
      </c>
      <c r="B2776" s="1">
        <v>-7621</v>
      </c>
      <c r="C2776" s="1">
        <v>5150</v>
      </c>
    </row>
    <row r="2777" spans="1:3" x14ac:dyDescent="0.25">
      <c r="A2777" s="1">
        <v>4449</v>
      </c>
      <c r="B2777" s="1">
        <v>-7340</v>
      </c>
      <c r="C2777" s="1">
        <v>5150</v>
      </c>
    </row>
    <row r="2778" spans="1:3" x14ac:dyDescent="0.25">
      <c r="A2778" s="1">
        <v>5196</v>
      </c>
      <c r="B2778" s="1">
        <v>-6832</v>
      </c>
      <c r="C2778" s="1">
        <v>5150</v>
      </c>
    </row>
    <row r="2779" spans="1:3" x14ac:dyDescent="0.25">
      <c r="A2779" s="1">
        <v>5641</v>
      </c>
      <c r="B2779" s="1">
        <v>-6470</v>
      </c>
      <c r="C2779" s="1">
        <v>5150</v>
      </c>
    </row>
    <row r="2780" spans="1:3" x14ac:dyDescent="0.25">
      <c r="A2780" s="1">
        <v>6061</v>
      </c>
      <c r="B2780" s="1">
        <v>-6078</v>
      </c>
      <c r="C2780" s="1">
        <v>5150</v>
      </c>
    </row>
    <row r="2781" spans="1:3" x14ac:dyDescent="0.25">
      <c r="A2781" s="1">
        <v>6666</v>
      </c>
      <c r="B2781" s="1">
        <v>-5407</v>
      </c>
      <c r="C2781" s="1">
        <v>5150</v>
      </c>
    </row>
    <row r="2782" spans="1:3" x14ac:dyDescent="0.25">
      <c r="A2782" s="1">
        <v>7013</v>
      </c>
      <c r="B2782" s="1">
        <v>-4950</v>
      </c>
      <c r="C2782" s="1">
        <v>5150</v>
      </c>
    </row>
    <row r="2783" spans="1:3" x14ac:dyDescent="0.25">
      <c r="A2783" s="1">
        <v>7334</v>
      </c>
      <c r="B2783" s="1">
        <v>-4460</v>
      </c>
      <c r="C2783" s="1">
        <v>5150</v>
      </c>
    </row>
    <row r="2784" spans="1:3" x14ac:dyDescent="0.25">
      <c r="A2784" s="1">
        <v>7621</v>
      </c>
      <c r="B2784" s="1">
        <v>-3949</v>
      </c>
      <c r="C2784" s="1">
        <v>5150</v>
      </c>
    </row>
    <row r="2785" spans="1:3" x14ac:dyDescent="0.25">
      <c r="A2785" s="1">
        <v>7873</v>
      </c>
      <c r="B2785" s="1">
        <v>-3420</v>
      </c>
      <c r="C2785" s="1">
        <v>5150</v>
      </c>
    </row>
    <row r="2786" spans="1:3" x14ac:dyDescent="0.25">
      <c r="A2786" s="1">
        <v>8088</v>
      </c>
      <c r="B2786" s="1">
        <v>-2874</v>
      </c>
      <c r="C2786" s="1">
        <v>5150</v>
      </c>
    </row>
    <row r="2787" spans="1:3" x14ac:dyDescent="0.25">
      <c r="A2787" s="1">
        <v>8265</v>
      </c>
      <c r="B2787" s="1">
        <v>-2316</v>
      </c>
      <c r="C2787" s="1">
        <v>5150</v>
      </c>
    </row>
    <row r="2788" spans="1:3" x14ac:dyDescent="0.25">
      <c r="A2788" s="1">
        <v>8404</v>
      </c>
      <c r="B2788" s="1">
        <v>-1746</v>
      </c>
      <c r="C2788" s="1">
        <v>5150</v>
      </c>
    </row>
    <row r="2789" spans="1:3" x14ac:dyDescent="0.25">
      <c r="A2789" s="1">
        <v>8502</v>
      </c>
      <c r="B2789" s="1">
        <v>-1181</v>
      </c>
      <c r="C2789" s="1">
        <v>5150</v>
      </c>
    </row>
    <row r="2790" spans="1:3" x14ac:dyDescent="0.25">
      <c r="A2790" s="1">
        <v>8579</v>
      </c>
      <c r="B2790">
        <f>0.281</f>
        <v>0.28100000000000003</v>
      </c>
      <c r="C2790" s="1">
        <v>5150</v>
      </c>
    </row>
    <row r="2791" spans="1:3" x14ac:dyDescent="0.25">
      <c r="A2791" s="1">
        <v>8579</v>
      </c>
      <c r="B2791">
        <v>0.29299999999999998</v>
      </c>
      <c r="C2791" s="1">
        <v>5150</v>
      </c>
    </row>
    <row r="2792" spans="1:3" x14ac:dyDescent="0.25">
      <c r="A2792" s="1">
        <v>8539</v>
      </c>
      <c r="B2792">
        <v>0.878</v>
      </c>
      <c r="C2792" s="1">
        <v>5150</v>
      </c>
    </row>
    <row r="2793" spans="1:3" x14ac:dyDescent="0.25">
      <c r="A2793" s="1">
        <v>8459</v>
      </c>
      <c r="B2793" s="1">
        <v>1458</v>
      </c>
      <c r="C2793" s="1">
        <v>5150</v>
      </c>
    </row>
    <row r="2794" spans="1:3" x14ac:dyDescent="0.25">
      <c r="A2794" s="1">
        <v>8342</v>
      </c>
      <c r="B2794" s="1">
        <v>2020</v>
      </c>
      <c r="C2794" s="1">
        <v>5150</v>
      </c>
    </row>
    <row r="2795" spans="1:3" x14ac:dyDescent="0.25">
      <c r="A2795" s="1">
        <v>8084</v>
      </c>
      <c r="B2795" s="1">
        <v>2886</v>
      </c>
      <c r="C2795" s="1">
        <v>5150</v>
      </c>
    </row>
    <row r="2796" spans="1:3" x14ac:dyDescent="0.25">
      <c r="A2796" s="1">
        <v>7873</v>
      </c>
      <c r="B2796" s="1">
        <v>3420</v>
      </c>
      <c r="C2796" s="1">
        <v>5150</v>
      </c>
    </row>
    <row r="2797" spans="1:3" x14ac:dyDescent="0.25">
      <c r="A2797" s="1">
        <v>7626</v>
      </c>
      <c r="B2797" s="1">
        <v>3938</v>
      </c>
      <c r="C2797" s="1">
        <v>5150</v>
      </c>
    </row>
    <row r="2798" spans="1:3" x14ac:dyDescent="0.25">
      <c r="A2798" s="1">
        <v>7177</v>
      </c>
      <c r="B2798" s="1">
        <v>4707</v>
      </c>
      <c r="C2798" s="1">
        <v>5150</v>
      </c>
    </row>
    <row r="2799" spans="1:3" x14ac:dyDescent="0.25">
      <c r="A2799" s="1">
        <v>6658</v>
      </c>
      <c r="B2799" s="1">
        <v>5416</v>
      </c>
      <c r="C2799" s="1">
        <v>5150</v>
      </c>
    </row>
    <row r="2800" spans="1:3" x14ac:dyDescent="0.25">
      <c r="A2800" s="1">
        <v>6069</v>
      </c>
      <c r="B2800" s="1">
        <v>6069</v>
      </c>
      <c r="C2800" s="1">
        <v>5150</v>
      </c>
    </row>
    <row r="2801" spans="1:3" x14ac:dyDescent="0.25">
      <c r="A2801" s="1">
        <v>5416</v>
      </c>
      <c r="B2801" s="1">
        <v>6658</v>
      </c>
      <c r="C2801" s="1">
        <v>5150</v>
      </c>
    </row>
    <row r="2802" spans="1:3" x14ac:dyDescent="0.25">
      <c r="A2802" s="1">
        <v>4707</v>
      </c>
      <c r="B2802" s="1">
        <v>7177</v>
      </c>
      <c r="C2802" s="1">
        <v>5150</v>
      </c>
    </row>
    <row r="2803" spans="1:3" x14ac:dyDescent="0.25">
      <c r="A2803" s="1">
        <v>3949</v>
      </c>
      <c r="B2803" s="1">
        <v>7620</v>
      </c>
      <c r="C2803" s="1">
        <v>5150</v>
      </c>
    </row>
    <row r="2804" spans="1:3" x14ac:dyDescent="0.25">
      <c r="A2804" s="1">
        <v>3149</v>
      </c>
      <c r="B2804" s="1">
        <v>7984</v>
      </c>
      <c r="C2804" s="1">
        <v>5150</v>
      </c>
    </row>
    <row r="2805" spans="1:3" x14ac:dyDescent="0.25">
      <c r="A2805" s="1">
        <v>2316</v>
      </c>
      <c r="B2805" s="1">
        <v>8264</v>
      </c>
      <c r="C2805" s="1">
        <v>5150</v>
      </c>
    </row>
    <row r="2806" spans="1:3" x14ac:dyDescent="0.25">
      <c r="A2806" s="1">
        <v>1446</v>
      </c>
      <c r="B2806" s="1">
        <v>8460</v>
      </c>
      <c r="C2806" s="1">
        <v>5150</v>
      </c>
    </row>
    <row r="2807" spans="1:3" x14ac:dyDescent="0.25">
      <c r="A2807" t="s">
        <v>15</v>
      </c>
      <c r="B2807" s="1">
        <v>8539</v>
      </c>
      <c r="C2807" s="1">
        <v>5150</v>
      </c>
    </row>
    <row r="2808" spans="1:3" x14ac:dyDescent="0.25">
      <c r="A2808" t="s">
        <v>14</v>
      </c>
      <c r="B2808" s="1">
        <v>8579</v>
      </c>
      <c r="C2808" s="1">
        <v>5150</v>
      </c>
    </row>
    <row r="2809" spans="1:3" x14ac:dyDescent="0.25">
      <c r="A2809" s="1">
        <v>-8464</v>
      </c>
      <c r="B2809" s="1">
        <v>8584</v>
      </c>
      <c r="C2809" s="1">
        <v>5150</v>
      </c>
    </row>
    <row r="2810" spans="1:3" x14ac:dyDescent="0.25">
      <c r="A2810" s="1">
        <v>-9600</v>
      </c>
      <c r="B2810" s="1">
        <v>9600</v>
      </c>
      <c r="C2810" s="1">
        <v>5150</v>
      </c>
    </row>
    <row r="2811" spans="1:3" x14ac:dyDescent="0.25">
      <c r="A2811" s="1">
        <v>-9600</v>
      </c>
      <c r="B2811" s="1">
        <v>-9600</v>
      </c>
      <c r="C2811" s="1">
        <v>5150</v>
      </c>
    </row>
    <row r="2812" spans="1:3" x14ac:dyDescent="0.25">
      <c r="A2812" t="s">
        <v>17</v>
      </c>
      <c r="B2812" s="1">
        <v>-9594</v>
      </c>
      <c r="C2812" s="1">
        <v>5150</v>
      </c>
    </row>
    <row r="2813" spans="1:3" x14ac:dyDescent="0.25">
      <c r="A2813" t="s">
        <v>18</v>
      </c>
      <c r="B2813" s="1">
        <v>-9549</v>
      </c>
      <c r="C2813" s="1">
        <v>5150</v>
      </c>
    </row>
    <row r="2814" spans="1:3" x14ac:dyDescent="0.25">
      <c r="A2814" s="1">
        <v>1628</v>
      </c>
      <c r="B2814" s="1">
        <v>-9461</v>
      </c>
      <c r="C2814" s="1">
        <v>5150</v>
      </c>
    </row>
    <row r="2815" spans="1:3" x14ac:dyDescent="0.25">
      <c r="A2815" s="1">
        <v>2593</v>
      </c>
      <c r="B2815" s="1">
        <v>-9243</v>
      </c>
      <c r="C2815" s="1">
        <v>5150</v>
      </c>
    </row>
    <row r="2816" spans="1:3" x14ac:dyDescent="0.25">
      <c r="A2816" s="1">
        <v>3215</v>
      </c>
      <c r="B2816" s="1">
        <v>-9045</v>
      </c>
      <c r="C2816" s="1">
        <v>5150</v>
      </c>
    </row>
    <row r="2817" spans="1:3" x14ac:dyDescent="0.25">
      <c r="A2817" s="1">
        <v>3825</v>
      </c>
      <c r="B2817" s="1">
        <v>-8805</v>
      </c>
      <c r="C2817" s="1">
        <v>5150</v>
      </c>
    </row>
    <row r="2818" spans="1:3" x14ac:dyDescent="0.25">
      <c r="A2818" s="1">
        <v>4417</v>
      </c>
      <c r="B2818" s="1">
        <v>-8523</v>
      </c>
      <c r="C2818" s="1">
        <v>5150</v>
      </c>
    </row>
    <row r="2819" spans="1:3" x14ac:dyDescent="0.25">
      <c r="A2819" s="1">
        <v>4985</v>
      </c>
      <c r="B2819" s="1">
        <v>-8204</v>
      </c>
      <c r="C2819" s="1">
        <v>5150</v>
      </c>
    </row>
    <row r="2820" spans="1:3" x14ac:dyDescent="0.25">
      <c r="A2820" s="1">
        <v>5803</v>
      </c>
      <c r="B2820" s="1">
        <v>-7647</v>
      </c>
      <c r="C2820" s="1">
        <v>5150</v>
      </c>
    </row>
    <row r="2821" spans="1:3" x14ac:dyDescent="0.25">
      <c r="A2821" s="1">
        <v>6309</v>
      </c>
      <c r="B2821" s="1">
        <v>-7235</v>
      </c>
      <c r="C2821" s="1">
        <v>5150</v>
      </c>
    </row>
    <row r="2822" spans="1:3" x14ac:dyDescent="0.25">
      <c r="A2822" s="1">
        <v>6786</v>
      </c>
      <c r="B2822" s="1">
        <v>-6790</v>
      </c>
      <c r="C2822" s="1">
        <v>5150</v>
      </c>
    </row>
    <row r="2823" spans="1:3" x14ac:dyDescent="0.25">
      <c r="A2823" s="1">
        <v>7449</v>
      </c>
      <c r="B2823" s="1">
        <v>-6056</v>
      </c>
      <c r="C2823" s="1">
        <v>5150</v>
      </c>
    </row>
    <row r="2824" spans="1:3" x14ac:dyDescent="0.25">
      <c r="A2824" s="1">
        <v>7843</v>
      </c>
      <c r="B2824" s="1">
        <v>-5536</v>
      </c>
      <c r="C2824" s="1">
        <v>5150</v>
      </c>
    </row>
    <row r="2825" spans="1:3" x14ac:dyDescent="0.25">
      <c r="A2825" s="1">
        <v>8202</v>
      </c>
      <c r="B2825" s="1">
        <v>-4988</v>
      </c>
      <c r="C2825" s="1">
        <v>5150</v>
      </c>
    </row>
    <row r="2826" spans="1:3" x14ac:dyDescent="0.25">
      <c r="A2826" s="1">
        <v>8523</v>
      </c>
      <c r="B2826" s="1">
        <v>-4417</v>
      </c>
      <c r="C2826" s="1">
        <v>5150</v>
      </c>
    </row>
    <row r="2827" spans="1:3" x14ac:dyDescent="0.25">
      <c r="A2827" s="1">
        <v>8805</v>
      </c>
      <c r="B2827" s="1">
        <v>-3825</v>
      </c>
      <c r="C2827" s="1">
        <v>5150</v>
      </c>
    </row>
    <row r="2828" spans="1:3" x14ac:dyDescent="0.25">
      <c r="A2828" s="1">
        <v>9045</v>
      </c>
      <c r="B2828" s="1">
        <v>-3215</v>
      </c>
      <c r="C2828" s="1">
        <v>5150</v>
      </c>
    </row>
    <row r="2829" spans="1:3" x14ac:dyDescent="0.25">
      <c r="A2829" s="1">
        <v>9244</v>
      </c>
      <c r="B2829" s="1">
        <v>-2590</v>
      </c>
      <c r="C2829" s="1">
        <v>5150</v>
      </c>
    </row>
    <row r="2830" spans="1:3" x14ac:dyDescent="0.25">
      <c r="A2830" s="1">
        <v>9399</v>
      </c>
      <c r="B2830" s="1">
        <v>-1953</v>
      </c>
      <c r="C2830" s="1">
        <v>5150</v>
      </c>
    </row>
    <row r="2831" spans="1:3" x14ac:dyDescent="0.25">
      <c r="A2831" s="1">
        <v>9510</v>
      </c>
      <c r="B2831" s="1">
        <v>-1311</v>
      </c>
      <c r="C2831" s="1">
        <v>5150</v>
      </c>
    </row>
    <row r="2832" spans="1:3" x14ac:dyDescent="0.25">
      <c r="A2832" s="1">
        <v>9594</v>
      </c>
      <c r="B2832">
        <f>0.324</f>
        <v>0.32400000000000001</v>
      </c>
      <c r="C2832" s="1">
        <v>5150</v>
      </c>
    </row>
    <row r="2833" spans="1:3" x14ac:dyDescent="0.25">
      <c r="A2833" s="1">
        <v>9594</v>
      </c>
      <c r="B2833">
        <v>0.32800000000000001</v>
      </c>
      <c r="C2833" s="1">
        <v>5150</v>
      </c>
    </row>
    <row r="2834" spans="1:3" x14ac:dyDescent="0.25">
      <c r="A2834" s="1">
        <v>9549</v>
      </c>
      <c r="B2834">
        <v>0.98199999999999998</v>
      </c>
      <c r="C2834" s="1">
        <v>5150</v>
      </c>
    </row>
    <row r="2835" spans="1:3" x14ac:dyDescent="0.25">
      <c r="A2835" s="1">
        <v>9460</v>
      </c>
      <c r="B2835" s="1">
        <v>1631</v>
      </c>
      <c r="C2835" s="1">
        <v>5150</v>
      </c>
    </row>
    <row r="2836" spans="1:3" x14ac:dyDescent="0.25">
      <c r="A2836" s="1">
        <v>9328</v>
      </c>
      <c r="B2836" s="1">
        <v>2270</v>
      </c>
      <c r="C2836" s="1">
        <v>5150</v>
      </c>
    </row>
    <row r="2837" spans="1:3" x14ac:dyDescent="0.25">
      <c r="A2837" s="1">
        <v>9044</v>
      </c>
      <c r="B2837" s="1">
        <v>3218</v>
      </c>
      <c r="C2837" s="1">
        <v>5150</v>
      </c>
    </row>
    <row r="2838" spans="1:3" x14ac:dyDescent="0.25">
      <c r="A2838" s="1">
        <v>8805</v>
      </c>
      <c r="B2838" s="1">
        <v>3825</v>
      </c>
      <c r="C2838" s="1">
        <v>5150</v>
      </c>
    </row>
    <row r="2839" spans="1:3" x14ac:dyDescent="0.25">
      <c r="A2839" s="1">
        <v>8525</v>
      </c>
      <c r="B2839" s="1">
        <v>4413</v>
      </c>
      <c r="C2839" s="1">
        <v>5150</v>
      </c>
    </row>
    <row r="2840" spans="1:3" x14ac:dyDescent="0.25">
      <c r="A2840" s="1">
        <v>8027</v>
      </c>
      <c r="B2840" s="1">
        <v>5265</v>
      </c>
      <c r="C2840" s="1">
        <v>5150</v>
      </c>
    </row>
    <row r="2841" spans="1:3" x14ac:dyDescent="0.25">
      <c r="A2841" s="1">
        <v>7446</v>
      </c>
      <c r="B2841" s="1">
        <v>6058</v>
      </c>
      <c r="C2841" s="1">
        <v>5150</v>
      </c>
    </row>
    <row r="2842" spans="1:3" x14ac:dyDescent="0.25">
      <c r="A2842" s="1">
        <v>6788</v>
      </c>
      <c r="B2842" s="1">
        <v>6788</v>
      </c>
      <c r="C2842" s="1">
        <v>5150</v>
      </c>
    </row>
    <row r="2843" spans="1:3" x14ac:dyDescent="0.25">
      <c r="A2843" s="1">
        <v>6058</v>
      </c>
      <c r="B2843" s="1">
        <v>7446</v>
      </c>
      <c r="C2843" s="1">
        <v>5150</v>
      </c>
    </row>
    <row r="2844" spans="1:3" x14ac:dyDescent="0.25">
      <c r="A2844" s="1">
        <v>5265</v>
      </c>
      <c r="B2844" s="1">
        <v>8027</v>
      </c>
      <c r="C2844" s="1">
        <v>5150</v>
      </c>
    </row>
    <row r="2845" spans="1:3" x14ac:dyDescent="0.25">
      <c r="A2845" s="1">
        <v>4416</v>
      </c>
      <c r="B2845" s="1">
        <v>8523</v>
      </c>
      <c r="C2845" s="1">
        <v>5150</v>
      </c>
    </row>
    <row r="2846" spans="1:3" x14ac:dyDescent="0.25">
      <c r="A2846" s="1">
        <v>3522</v>
      </c>
      <c r="B2846" s="1">
        <v>8930</v>
      </c>
      <c r="C2846" s="1">
        <v>5150</v>
      </c>
    </row>
    <row r="2847" spans="1:3" x14ac:dyDescent="0.25">
      <c r="A2847" s="1">
        <v>2590</v>
      </c>
      <c r="B2847" s="1">
        <v>9243</v>
      </c>
      <c r="C2847" s="1">
        <v>5150</v>
      </c>
    </row>
    <row r="2848" spans="1:3" x14ac:dyDescent="0.25">
      <c r="A2848" s="1">
        <v>1628</v>
      </c>
      <c r="B2848" s="1">
        <v>9461</v>
      </c>
      <c r="C2848" s="1">
        <v>5150</v>
      </c>
    </row>
    <row r="2849" spans="1:3" x14ac:dyDescent="0.25">
      <c r="A2849" t="s">
        <v>18</v>
      </c>
      <c r="B2849" s="1">
        <v>9549</v>
      </c>
      <c r="C2849" s="1">
        <v>5150</v>
      </c>
    </row>
    <row r="2850" spans="1:3" x14ac:dyDescent="0.25">
      <c r="A2850" t="s">
        <v>17</v>
      </c>
      <c r="B2850" s="1">
        <v>9594</v>
      </c>
      <c r="C2850" s="1">
        <v>5150</v>
      </c>
    </row>
    <row r="2851" spans="1:3" x14ac:dyDescent="0.25">
      <c r="A2851" s="1">
        <v>-9480</v>
      </c>
      <c r="B2851" s="1">
        <v>9600</v>
      </c>
      <c r="C2851" s="1">
        <v>5150</v>
      </c>
    </row>
    <row r="2852" spans="1:3" x14ac:dyDescent="0.25">
      <c r="A2852" s="1">
        <v>-9201</v>
      </c>
      <c r="B2852" s="1">
        <v>8906</v>
      </c>
      <c r="C2852" s="1">
        <v>5150</v>
      </c>
    </row>
    <row r="2853" spans="1:3" x14ac:dyDescent="0.25">
      <c r="A2853" s="1">
        <v>3729</v>
      </c>
      <c r="B2853" s="1">
        <v>4739</v>
      </c>
      <c r="C2853" s="1">
        <v>5150</v>
      </c>
    </row>
    <row r="2854" spans="1:3" x14ac:dyDescent="0.25">
      <c r="A2854" s="1">
        <v>4739</v>
      </c>
      <c r="B2854" s="1">
        <v>3729</v>
      </c>
      <c r="C2854" s="1">
        <v>5150</v>
      </c>
    </row>
    <row r="2855" spans="1:3" x14ac:dyDescent="0.25">
      <c r="A2855" s="1">
        <v>5149</v>
      </c>
      <c r="B2855" s="1">
        <v>3275</v>
      </c>
      <c r="C2855" s="1">
        <v>5150</v>
      </c>
    </row>
    <row r="2856" spans="1:3" x14ac:dyDescent="0.25">
      <c r="A2856" s="1">
        <v>5511</v>
      </c>
      <c r="B2856" s="1">
        <v>2780</v>
      </c>
      <c r="C2856" s="1">
        <v>5150</v>
      </c>
    </row>
    <row r="2857" spans="1:3" x14ac:dyDescent="0.25">
      <c r="A2857" s="1">
        <v>5838</v>
      </c>
      <c r="B2857" s="1">
        <v>2221</v>
      </c>
      <c r="C2857" s="1">
        <v>5150</v>
      </c>
    </row>
    <row r="2858" spans="1:3" x14ac:dyDescent="0.25">
      <c r="A2858" s="1">
        <v>5999</v>
      </c>
      <c r="B2858" s="1">
        <v>1883</v>
      </c>
      <c r="C2858" s="1">
        <v>5150</v>
      </c>
    </row>
    <row r="2859" spans="1:3" x14ac:dyDescent="0.25">
      <c r="A2859" s="1">
        <v>6136</v>
      </c>
      <c r="B2859" s="1">
        <v>1534</v>
      </c>
      <c r="C2859" s="1">
        <v>5150</v>
      </c>
    </row>
    <row r="2860" spans="1:3" x14ac:dyDescent="0.25">
      <c r="A2860" s="1">
        <v>6331</v>
      </c>
      <c r="B2860">
        <v>0.88100000000000001</v>
      </c>
      <c r="C2860" s="1">
        <v>5150</v>
      </c>
    </row>
    <row r="2861" spans="1:3" x14ac:dyDescent="0.25">
      <c r="A2861" s="1">
        <v>6408</v>
      </c>
      <c r="B2861">
        <v>0.51400000000000001</v>
      </c>
      <c r="C2861" s="1">
        <v>5150</v>
      </c>
    </row>
    <row r="2862" spans="1:3" x14ac:dyDescent="0.25">
      <c r="A2862" s="1">
        <v>6457</v>
      </c>
      <c r="B2862">
        <v>0.151</v>
      </c>
      <c r="C2862" s="1">
        <v>5150</v>
      </c>
    </row>
    <row r="2863" spans="1:3" x14ac:dyDescent="0.25">
      <c r="A2863" t="s">
        <v>24</v>
      </c>
      <c r="B2863" s="1">
        <v>6457</v>
      </c>
      <c r="C2863" s="1">
        <v>5150</v>
      </c>
    </row>
    <row r="2864" spans="1:3" x14ac:dyDescent="0.25">
      <c r="A2864" t="e" vm="1">
        <f>_FV(0,"3")</f>
        <v>#VALUE!</v>
      </c>
      <c r="B2864" s="1">
        <v>6491</v>
      </c>
      <c r="C2864" s="1">
        <v>5150</v>
      </c>
    </row>
    <row r="2865" spans="1:3" x14ac:dyDescent="0.25">
      <c r="A2865" s="1">
        <v>-1743</v>
      </c>
      <c r="B2865" s="1">
        <v>6492</v>
      </c>
      <c r="C2865" s="1">
        <v>5150</v>
      </c>
    </row>
    <row r="2866" spans="1:3" x14ac:dyDescent="0.25">
      <c r="A2866" s="1">
        <v>6385</v>
      </c>
      <c r="B2866" s="1">
        <v>-1635</v>
      </c>
      <c r="C2866" s="1">
        <v>5150</v>
      </c>
    </row>
    <row r="2867" spans="1:3" x14ac:dyDescent="0.25">
      <c r="A2867" s="1">
        <v>6273</v>
      </c>
      <c r="B2867" s="1">
        <v>-2120</v>
      </c>
      <c r="C2867" s="1">
        <v>5150</v>
      </c>
    </row>
    <row r="2868" spans="1:3" x14ac:dyDescent="0.25">
      <c r="A2868" s="1">
        <v>6149</v>
      </c>
      <c r="B2868" s="1">
        <v>-2510</v>
      </c>
      <c r="C2868" s="1">
        <v>5150</v>
      </c>
    </row>
    <row r="2869" spans="1:3" x14ac:dyDescent="0.25">
      <c r="A2869" s="1">
        <v>5929</v>
      </c>
      <c r="B2869" s="1">
        <v>-3038</v>
      </c>
      <c r="C2869" s="1">
        <v>5150</v>
      </c>
    </row>
    <row r="2870" spans="1:3" x14ac:dyDescent="0.25">
      <c r="A2870" s="1">
        <v>-3603</v>
      </c>
      <c r="B2870" s="1">
        <v>6493</v>
      </c>
      <c r="C2870" s="1">
        <v>5150</v>
      </c>
    </row>
    <row r="2871" spans="1:3" x14ac:dyDescent="0.25">
      <c r="A2871" s="1">
        <v>-5463</v>
      </c>
      <c r="B2871" s="1">
        <v>6494</v>
      </c>
      <c r="C2871" s="1">
        <v>5150</v>
      </c>
    </row>
    <row r="2872" spans="1:3" x14ac:dyDescent="0.25">
      <c r="A2872" s="1">
        <v>5222</v>
      </c>
      <c r="B2872" s="1">
        <v>-4191</v>
      </c>
      <c r="C2872" s="1">
        <v>5150</v>
      </c>
    </row>
    <row r="2873" spans="1:3" x14ac:dyDescent="0.25">
      <c r="A2873" s="1">
        <v>4715</v>
      </c>
      <c r="B2873" s="1">
        <v>-4763</v>
      </c>
      <c r="C2873" s="1">
        <v>5150</v>
      </c>
    </row>
    <row r="2874" spans="1:3" x14ac:dyDescent="0.25">
      <c r="A2874" s="1">
        <v>4303</v>
      </c>
      <c r="B2874" s="1">
        <v>-5131</v>
      </c>
      <c r="C2874" s="1">
        <v>5150</v>
      </c>
    </row>
    <row r="2875" spans="1:3" x14ac:dyDescent="0.25">
      <c r="A2875" s="1">
        <v>-6497</v>
      </c>
      <c r="B2875" s="1">
        <v>5669</v>
      </c>
      <c r="C2875" s="1">
        <v>5150</v>
      </c>
    </row>
    <row r="2876" spans="1:3" x14ac:dyDescent="0.25">
      <c r="A2876" s="1">
        <v>-6497</v>
      </c>
      <c r="B2876" s="1">
        <v>3809</v>
      </c>
      <c r="C2876" s="1">
        <v>5150</v>
      </c>
    </row>
    <row r="2877" spans="1:3" x14ac:dyDescent="0.25">
      <c r="A2877" s="1">
        <v>3176</v>
      </c>
      <c r="B2877" s="1">
        <v>-5863</v>
      </c>
      <c r="C2877" s="1">
        <v>5150</v>
      </c>
    </row>
    <row r="2878" spans="1:3" x14ac:dyDescent="0.25">
      <c r="A2878" s="1">
        <v>2510</v>
      </c>
      <c r="B2878" s="1">
        <v>-6149</v>
      </c>
      <c r="C2878" s="1">
        <v>5150</v>
      </c>
    </row>
    <row r="2879" spans="1:3" x14ac:dyDescent="0.25">
      <c r="A2879" s="1">
        <v>2153</v>
      </c>
      <c r="B2879" s="1">
        <v>-6262</v>
      </c>
      <c r="C2879" s="1">
        <v>5150</v>
      </c>
    </row>
    <row r="2880" spans="1:3" x14ac:dyDescent="0.25">
      <c r="A2880" s="1">
        <v>1796</v>
      </c>
      <c r="B2880" s="1">
        <v>-6343</v>
      </c>
      <c r="C2880" s="1">
        <v>5150</v>
      </c>
    </row>
    <row r="2881" spans="1:3" x14ac:dyDescent="0.25">
      <c r="A2881" s="1">
        <v>-6497</v>
      </c>
      <c r="B2881" s="1">
        <v>1950</v>
      </c>
      <c r="C2881" s="1">
        <v>5150</v>
      </c>
    </row>
    <row r="2882" spans="1:3" x14ac:dyDescent="0.25">
      <c r="A2882" s="1">
        <v>-6497</v>
      </c>
      <c r="B2882">
        <v>9.0999999999999998E-2</v>
      </c>
      <c r="C2882" s="1">
        <v>5150</v>
      </c>
    </row>
    <row r="2883" spans="1:3" x14ac:dyDescent="0.25">
      <c r="A2883" t="s">
        <v>89</v>
      </c>
      <c r="B2883" s="1">
        <v>-6492</v>
      </c>
      <c r="C2883" s="1">
        <v>5150</v>
      </c>
    </row>
    <row r="2884" spans="1:3" x14ac:dyDescent="0.25">
      <c r="A2884" s="1">
        <v>-1773</v>
      </c>
      <c r="B2884" s="1">
        <v>-6493</v>
      </c>
      <c r="C2884" s="1">
        <v>5150</v>
      </c>
    </row>
    <row r="2885" spans="1:3" x14ac:dyDescent="0.25">
      <c r="A2885" s="1">
        <v>-6497</v>
      </c>
      <c r="B2885" s="1">
        <v>-1768</v>
      </c>
      <c r="C2885" s="1">
        <v>5150</v>
      </c>
    </row>
    <row r="2886" spans="1:3" x14ac:dyDescent="0.25">
      <c r="A2886" s="1">
        <v>-6497</v>
      </c>
      <c r="B2886" s="1">
        <v>-3628</v>
      </c>
      <c r="C2886" s="1">
        <v>5150</v>
      </c>
    </row>
    <row r="2887" spans="1:3" x14ac:dyDescent="0.25">
      <c r="A2887" s="1">
        <v>-3631</v>
      </c>
      <c r="B2887" s="1">
        <v>-6494</v>
      </c>
      <c r="C2887" s="1">
        <v>5150</v>
      </c>
    </row>
    <row r="2888" spans="1:3" x14ac:dyDescent="0.25">
      <c r="A2888" s="1">
        <v>-5489</v>
      </c>
      <c r="B2888" s="1">
        <v>-6495</v>
      </c>
      <c r="C2888" s="1">
        <v>5150</v>
      </c>
    </row>
    <row r="2889" spans="1:3" x14ac:dyDescent="0.25">
      <c r="A2889" s="1">
        <v>-6497</v>
      </c>
      <c r="B2889" s="1">
        <v>-5487</v>
      </c>
      <c r="C2889" s="1">
        <v>5150</v>
      </c>
    </row>
    <row r="2890" spans="1:3" x14ac:dyDescent="0.25">
      <c r="A2890" s="1">
        <v>-6497</v>
      </c>
      <c r="B2890" s="1">
        <v>-5487</v>
      </c>
      <c r="C2890" s="1">
        <v>5450</v>
      </c>
    </row>
    <row r="2891" spans="1:3" x14ac:dyDescent="0.25">
      <c r="A2891" t="e" vm="17">
        <f>_FV(0,"309")</f>
        <v>#VALUE!</v>
      </c>
      <c r="B2891" s="1">
        <v>1014</v>
      </c>
      <c r="C2891" s="1">
        <v>5450</v>
      </c>
    </row>
    <row r="2892" spans="1:3" x14ac:dyDescent="0.25">
      <c r="A2892" t="e" vm="18">
        <f>_FV(0,"61")</f>
        <v>#VALUE!</v>
      </c>
      <c r="B2892">
        <v>0.86399999999999999</v>
      </c>
      <c r="C2892" s="1">
        <v>5450</v>
      </c>
    </row>
    <row r="2893" spans="1:3" x14ac:dyDescent="0.25">
      <c r="A2893" t="e" vm="19">
        <f>_FV(0,"773")</f>
        <v>#VALUE!</v>
      </c>
      <c r="B2893">
        <v>0.72199999999999998</v>
      </c>
      <c r="C2893" s="1">
        <v>5450</v>
      </c>
    </row>
    <row r="2894" spans="1:3" x14ac:dyDescent="0.25">
      <c r="A2894" t="e" vm="20">
        <f>_FV(0,"904")</f>
        <v>#VALUE!</v>
      </c>
      <c r="B2894">
        <v>0.55000000000000004</v>
      </c>
      <c r="C2894" s="1">
        <v>5450</v>
      </c>
    </row>
    <row r="2895" spans="1:3" x14ac:dyDescent="0.25">
      <c r="A2895" t="e" vm="21">
        <f>_FV(0,"997")</f>
        <v>#VALUE!</v>
      </c>
      <c r="B2895">
        <v>0.35399999999999998</v>
      </c>
      <c r="C2895" s="1">
        <v>5450</v>
      </c>
    </row>
    <row r="2896" spans="1:3" x14ac:dyDescent="0.25">
      <c r="A2896" s="1">
        <v>-1048</v>
      </c>
      <c r="B2896">
        <v>0.14399999999999999</v>
      </c>
      <c r="C2896" s="1">
        <v>5450</v>
      </c>
    </row>
    <row r="2897" spans="1:3" x14ac:dyDescent="0.25">
      <c r="A2897" s="1">
        <v>-1055</v>
      </c>
      <c r="B2897">
        <f>0.072</f>
        <v>7.1999999999999995E-2</v>
      </c>
      <c r="C2897" s="1">
        <v>5450</v>
      </c>
    </row>
    <row r="2898" spans="1:3" x14ac:dyDescent="0.25">
      <c r="A2898" s="1">
        <v>-1018</v>
      </c>
      <c r="B2898">
        <f>0.29</f>
        <v>0.28999999999999998</v>
      </c>
      <c r="C2898" s="1">
        <v>5450</v>
      </c>
    </row>
    <row r="2899" spans="1:3" x14ac:dyDescent="0.25">
      <c r="A2899" t="e" vm="22">
        <f>_FV(0,"943")</f>
        <v>#VALUE!</v>
      </c>
      <c r="B2899">
        <f>0.484</f>
        <v>0.48399999999999999</v>
      </c>
      <c r="C2899" s="1">
        <v>5450</v>
      </c>
    </row>
    <row r="2900" spans="1:3" x14ac:dyDescent="0.25">
      <c r="A2900" t="e" vm="23">
        <f>_FV(0,"875")</f>
        <v>#VALUE!</v>
      </c>
      <c r="B2900">
        <f>0.598</f>
        <v>0.59799999999999998</v>
      </c>
      <c r="C2900" s="1">
        <v>5450</v>
      </c>
    </row>
    <row r="2901" spans="1:3" x14ac:dyDescent="0.25">
      <c r="A2901" t="e" vm="24">
        <f>_FV(0,"722")</f>
        <v>#VALUE!</v>
      </c>
      <c r="B2901">
        <f>0.773</f>
        <v>0.77300000000000002</v>
      </c>
      <c r="C2901" s="1">
        <v>5450</v>
      </c>
    </row>
    <row r="2902" spans="1:3" x14ac:dyDescent="0.25">
      <c r="A2902" t="e" vm="25">
        <f>_FV(0,"55")</f>
        <v>#VALUE!</v>
      </c>
      <c r="B2902">
        <f>0.904</f>
        <v>0.90400000000000003</v>
      </c>
      <c r="C2902" s="1">
        <v>5450</v>
      </c>
    </row>
    <row r="2903" spans="1:3" x14ac:dyDescent="0.25">
      <c r="A2903" t="e" vm="26">
        <f>_FV(0,"354")</f>
        <v>#VALUE!</v>
      </c>
      <c r="B2903">
        <f>0.997</f>
        <v>0.997</v>
      </c>
      <c r="C2903" s="1">
        <v>5450</v>
      </c>
    </row>
    <row r="2904" spans="1:3" x14ac:dyDescent="0.25">
      <c r="A2904" t="e" vm="27">
        <f>_FV(0,"14")</f>
        <v>#VALUE!</v>
      </c>
      <c r="B2904" s="1">
        <v>-1049</v>
      </c>
      <c r="C2904" s="1">
        <v>5450</v>
      </c>
    </row>
    <row r="2905" spans="1:3" x14ac:dyDescent="0.25">
      <c r="A2905" t="s">
        <v>30</v>
      </c>
      <c r="B2905" s="1">
        <v>-1057</v>
      </c>
      <c r="C2905" s="1">
        <v>5450</v>
      </c>
    </row>
    <row r="2906" spans="1:3" x14ac:dyDescent="0.25">
      <c r="A2906" t="s">
        <v>94</v>
      </c>
      <c r="B2906" s="1">
        <v>-1041</v>
      </c>
      <c r="C2906" s="1">
        <v>5450</v>
      </c>
    </row>
    <row r="2907" spans="1:3" x14ac:dyDescent="0.25">
      <c r="A2907" t="s">
        <v>95</v>
      </c>
      <c r="B2907">
        <f>0.97</f>
        <v>0.97</v>
      </c>
      <c r="C2907" s="1">
        <v>5450</v>
      </c>
    </row>
    <row r="2908" spans="1:3" x14ac:dyDescent="0.25">
      <c r="A2908" t="s">
        <v>164</v>
      </c>
      <c r="B2908">
        <f>0.864</f>
        <v>0.86399999999999999</v>
      </c>
      <c r="C2908" s="1">
        <v>5450</v>
      </c>
    </row>
    <row r="2909" spans="1:3" x14ac:dyDescent="0.25">
      <c r="A2909" t="s">
        <v>10</v>
      </c>
      <c r="B2909">
        <f>0.722</f>
        <v>0.72199999999999998</v>
      </c>
      <c r="C2909" s="1">
        <v>5450</v>
      </c>
    </row>
    <row r="2910" spans="1:3" x14ac:dyDescent="0.25">
      <c r="A2910" t="s">
        <v>96</v>
      </c>
      <c r="B2910">
        <f>0.55</f>
        <v>0.55000000000000004</v>
      </c>
      <c r="C2910" s="1">
        <v>5450</v>
      </c>
    </row>
    <row r="2911" spans="1:3" x14ac:dyDescent="0.25">
      <c r="A2911" t="s">
        <v>97</v>
      </c>
      <c r="B2911">
        <f>0.354</f>
        <v>0.35399999999999998</v>
      </c>
      <c r="C2911" s="1">
        <v>5450</v>
      </c>
    </row>
    <row r="2912" spans="1:3" x14ac:dyDescent="0.25">
      <c r="A2912" s="1">
        <v>1048</v>
      </c>
      <c r="B2912">
        <f>0.144</f>
        <v>0.14399999999999999</v>
      </c>
      <c r="C2912" s="1">
        <v>5450</v>
      </c>
    </row>
    <row r="2913" spans="1:3" x14ac:dyDescent="0.25">
      <c r="A2913" s="1">
        <v>1043</v>
      </c>
      <c r="B2913">
        <v>0.192</v>
      </c>
      <c r="C2913" s="1">
        <v>5450</v>
      </c>
    </row>
    <row r="2914" spans="1:3" x14ac:dyDescent="0.25">
      <c r="A2914" t="s">
        <v>157</v>
      </c>
      <c r="B2914">
        <v>0.42099999999999999</v>
      </c>
      <c r="C2914" s="1">
        <v>5450</v>
      </c>
    </row>
    <row r="2915" spans="1:3" x14ac:dyDescent="0.25">
      <c r="A2915" t="s">
        <v>90</v>
      </c>
      <c r="B2915">
        <v>0.61</v>
      </c>
      <c r="C2915" s="1">
        <v>5450</v>
      </c>
    </row>
    <row r="2916" spans="1:3" x14ac:dyDescent="0.25">
      <c r="A2916" t="s">
        <v>91</v>
      </c>
      <c r="B2916">
        <v>0.77300000000000002</v>
      </c>
      <c r="C2916" s="1">
        <v>5450</v>
      </c>
    </row>
    <row r="2917" spans="1:3" x14ac:dyDescent="0.25">
      <c r="A2917" t="s">
        <v>165</v>
      </c>
      <c r="B2917">
        <v>0.90400000000000003</v>
      </c>
      <c r="C2917" s="1">
        <v>5450</v>
      </c>
    </row>
    <row r="2918" spans="1:3" x14ac:dyDescent="0.25">
      <c r="A2918" t="s">
        <v>92</v>
      </c>
      <c r="B2918">
        <v>0.997</v>
      </c>
      <c r="C2918" s="1">
        <v>5450</v>
      </c>
    </row>
    <row r="2919" spans="1:3" x14ac:dyDescent="0.25">
      <c r="A2919" t="s">
        <v>93</v>
      </c>
      <c r="B2919" s="1">
        <v>1048</v>
      </c>
      <c r="C2919" s="1">
        <v>5450</v>
      </c>
    </row>
    <row r="2920" spans="1:3" x14ac:dyDescent="0.25">
      <c r="A2920" t="e" vm="28">
        <f>_FV(0,"072")</f>
        <v>#VALUE!</v>
      </c>
      <c r="B2920" s="1">
        <v>1055</v>
      </c>
      <c r="C2920" s="1">
        <v>5450</v>
      </c>
    </row>
    <row r="2921" spans="1:3" x14ac:dyDescent="0.25">
      <c r="A2921" t="e" vm="29">
        <f>_FV(0,"191")</f>
        <v>#VALUE!</v>
      </c>
      <c r="B2921" s="1">
        <v>1035</v>
      </c>
      <c r="C2921" s="1">
        <v>5450</v>
      </c>
    </row>
    <row r="2922" spans="1:3" x14ac:dyDescent="0.25">
      <c r="A2922" t="e" vm="30">
        <f>_FV(0,"65")</f>
        <v>#VALUE!</v>
      </c>
      <c r="B2922" s="1">
        <v>1971</v>
      </c>
      <c r="C2922" s="1">
        <v>5450</v>
      </c>
    </row>
    <row r="2923" spans="1:3" x14ac:dyDescent="0.25">
      <c r="A2923" t="e" vm="31">
        <f>_FV(0,"822")</f>
        <v>#VALUE!</v>
      </c>
      <c r="B2923" s="1">
        <v>1910</v>
      </c>
      <c r="C2923" s="1">
        <v>5450</v>
      </c>
    </row>
    <row r="2924" spans="1:3" x14ac:dyDescent="0.25">
      <c r="A2924" s="1">
        <v>-1199</v>
      </c>
      <c r="B2924" s="1">
        <v>1698</v>
      </c>
      <c r="C2924" s="1">
        <v>5450</v>
      </c>
    </row>
    <row r="2925" spans="1:3" x14ac:dyDescent="0.25">
      <c r="A2925" s="1">
        <v>-1519</v>
      </c>
      <c r="B2925" s="1">
        <v>1419</v>
      </c>
      <c r="C2925" s="1">
        <v>5450</v>
      </c>
    </row>
    <row r="2926" spans="1:3" x14ac:dyDescent="0.25">
      <c r="A2926" s="1">
        <v>-1776</v>
      </c>
      <c r="B2926" s="1">
        <v>1080</v>
      </c>
      <c r="C2926" s="1">
        <v>5450</v>
      </c>
    </row>
    <row r="2927" spans="1:3" x14ac:dyDescent="0.25">
      <c r="A2927" s="1">
        <v>-1959</v>
      </c>
      <c r="B2927">
        <v>0.69599999999999995</v>
      </c>
      <c r="C2927" s="1">
        <v>5450</v>
      </c>
    </row>
    <row r="2928" spans="1:3" x14ac:dyDescent="0.25">
      <c r="A2928" s="1">
        <v>-2059</v>
      </c>
      <c r="B2928">
        <v>0.28299999999999997</v>
      </c>
      <c r="C2928" s="1">
        <v>5450</v>
      </c>
    </row>
    <row r="2929" spans="1:3" x14ac:dyDescent="0.25">
      <c r="A2929" s="1">
        <v>-2074</v>
      </c>
      <c r="B2929">
        <f>0.142</f>
        <v>0.14199999999999999</v>
      </c>
      <c r="C2929" s="1">
        <v>5450</v>
      </c>
    </row>
    <row r="2930" spans="1:3" x14ac:dyDescent="0.25">
      <c r="A2930" s="1">
        <v>-2001</v>
      </c>
      <c r="B2930">
        <f>0.562</f>
        <v>0.56200000000000006</v>
      </c>
      <c r="C2930" s="1">
        <v>5450</v>
      </c>
    </row>
    <row r="2931" spans="1:3" x14ac:dyDescent="0.25">
      <c r="A2931" s="1">
        <v>-1859</v>
      </c>
      <c r="B2931">
        <f>0.929</f>
        <v>0.92900000000000005</v>
      </c>
      <c r="C2931" s="1">
        <v>5450</v>
      </c>
    </row>
    <row r="2932" spans="1:3" x14ac:dyDescent="0.25">
      <c r="A2932" s="1">
        <v>-1701</v>
      </c>
      <c r="B2932" s="1">
        <v>-1195</v>
      </c>
      <c r="C2932" s="1">
        <v>5450</v>
      </c>
    </row>
    <row r="2933" spans="1:3" x14ac:dyDescent="0.25">
      <c r="A2933" s="1">
        <v>-1419</v>
      </c>
      <c r="B2933" s="1">
        <v>-1519</v>
      </c>
      <c r="C2933" s="1">
        <v>5450</v>
      </c>
    </row>
    <row r="2934" spans="1:3" x14ac:dyDescent="0.25">
      <c r="A2934" s="1">
        <v>-1080</v>
      </c>
      <c r="B2934" s="1">
        <v>-1776</v>
      </c>
      <c r="C2934" s="1">
        <v>5450</v>
      </c>
    </row>
    <row r="2935" spans="1:3" x14ac:dyDescent="0.25">
      <c r="A2935" t="e" vm="32">
        <f>_FV(0,"696")</f>
        <v>#VALUE!</v>
      </c>
      <c r="B2935" s="1">
        <v>-1959</v>
      </c>
      <c r="C2935" s="1">
        <v>5450</v>
      </c>
    </row>
    <row r="2936" spans="1:3" x14ac:dyDescent="0.25">
      <c r="A2936" t="e" vm="33">
        <f>_FV(0,"282")</f>
        <v>#VALUE!</v>
      </c>
      <c r="B2936" s="1">
        <v>-2060</v>
      </c>
      <c r="C2936" s="1">
        <v>5450</v>
      </c>
    </row>
    <row r="2937" spans="1:3" x14ac:dyDescent="0.25">
      <c r="A2937" t="s">
        <v>100</v>
      </c>
      <c r="B2937" s="1">
        <v>-2075</v>
      </c>
      <c r="C2937" s="1">
        <v>5450</v>
      </c>
    </row>
    <row r="2938" spans="1:3" x14ac:dyDescent="0.25">
      <c r="A2938" t="s">
        <v>101</v>
      </c>
      <c r="B2938" s="1">
        <v>-2037</v>
      </c>
      <c r="C2938" s="1">
        <v>5450</v>
      </c>
    </row>
    <row r="2939" spans="1:3" x14ac:dyDescent="0.25">
      <c r="A2939" t="s">
        <v>102</v>
      </c>
      <c r="B2939" s="1">
        <v>-1907</v>
      </c>
      <c r="C2939" s="1">
        <v>5450</v>
      </c>
    </row>
    <row r="2940" spans="1:3" x14ac:dyDescent="0.25">
      <c r="A2940" s="1">
        <v>1199</v>
      </c>
      <c r="B2940" s="1">
        <v>-1698</v>
      </c>
      <c r="C2940" s="1">
        <v>5450</v>
      </c>
    </row>
    <row r="2941" spans="1:3" x14ac:dyDescent="0.25">
      <c r="A2941" s="1">
        <v>1519</v>
      </c>
      <c r="B2941" s="1">
        <v>-1419</v>
      </c>
      <c r="C2941" s="1">
        <v>5450</v>
      </c>
    </row>
    <row r="2942" spans="1:3" x14ac:dyDescent="0.25">
      <c r="A2942" s="1">
        <v>1776</v>
      </c>
      <c r="B2942" s="1">
        <v>-1080</v>
      </c>
      <c r="C2942" s="1">
        <v>5450</v>
      </c>
    </row>
    <row r="2943" spans="1:3" x14ac:dyDescent="0.25">
      <c r="A2943" s="1">
        <v>1959</v>
      </c>
      <c r="B2943">
        <f>0.696</f>
        <v>0.69599999999999995</v>
      </c>
      <c r="C2943" s="1">
        <v>5450</v>
      </c>
    </row>
    <row r="2944" spans="1:3" x14ac:dyDescent="0.25">
      <c r="A2944" s="1">
        <v>2059</v>
      </c>
      <c r="B2944">
        <f>0.283</f>
        <v>0.28299999999999997</v>
      </c>
      <c r="C2944" s="1">
        <v>5450</v>
      </c>
    </row>
    <row r="2945" spans="1:3" x14ac:dyDescent="0.25">
      <c r="A2945" s="1">
        <v>2074</v>
      </c>
      <c r="B2945">
        <v>0.14899999999999999</v>
      </c>
      <c r="C2945" s="1">
        <v>5450</v>
      </c>
    </row>
    <row r="2946" spans="1:3" x14ac:dyDescent="0.25">
      <c r="A2946" s="1">
        <v>2037</v>
      </c>
      <c r="B2946">
        <v>0.41599999999999998</v>
      </c>
      <c r="C2946" s="1">
        <v>5450</v>
      </c>
    </row>
    <row r="2947" spans="1:3" x14ac:dyDescent="0.25">
      <c r="A2947" s="1">
        <v>1907</v>
      </c>
      <c r="B2947">
        <v>0.82799999999999996</v>
      </c>
      <c r="C2947" s="1">
        <v>5450</v>
      </c>
    </row>
    <row r="2948" spans="1:3" x14ac:dyDescent="0.25">
      <c r="A2948" s="1">
        <v>1698</v>
      </c>
      <c r="B2948" s="1">
        <v>1199</v>
      </c>
      <c r="C2948" s="1">
        <v>5450</v>
      </c>
    </row>
    <row r="2949" spans="1:3" x14ac:dyDescent="0.25">
      <c r="A2949" s="1">
        <v>1419</v>
      </c>
      <c r="B2949" s="1">
        <v>1519</v>
      </c>
      <c r="C2949" s="1">
        <v>5450</v>
      </c>
    </row>
    <row r="2950" spans="1:3" x14ac:dyDescent="0.25">
      <c r="A2950" s="1">
        <v>1080</v>
      </c>
      <c r="B2950" s="1">
        <v>1776</v>
      </c>
      <c r="C2950" s="1">
        <v>5450</v>
      </c>
    </row>
    <row r="2951" spans="1:3" x14ac:dyDescent="0.25">
      <c r="A2951" t="s">
        <v>98</v>
      </c>
      <c r="B2951" s="1">
        <v>1959</v>
      </c>
      <c r="C2951" s="1">
        <v>5450</v>
      </c>
    </row>
    <row r="2952" spans="1:3" x14ac:dyDescent="0.25">
      <c r="A2952" t="s">
        <v>99</v>
      </c>
      <c r="B2952" s="1">
        <v>2059</v>
      </c>
      <c r="C2952" s="1">
        <v>5450</v>
      </c>
    </row>
    <row r="2953" spans="1:3" x14ac:dyDescent="0.25">
      <c r="A2953" t="e" vm="34">
        <f>_FV(0,"142")</f>
        <v>#VALUE!</v>
      </c>
      <c r="B2953" s="1">
        <v>2074</v>
      </c>
      <c r="C2953" s="1">
        <v>5450</v>
      </c>
    </row>
    <row r="2954" spans="1:3" x14ac:dyDescent="0.25">
      <c r="A2954" t="e" vm="35">
        <f>_FV(0,"535")</f>
        <v>#VALUE!</v>
      </c>
      <c r="B2954" s="1">
        <v>2006</v>
      </c>
      <c r="C2954" s="1">
        <v>5450</v>
      </c>
    </row>
    <row r="2955" spans="1:3" x14ac:dyDescent="0.25">
      <c r="A2955" t="e" vm="36">
        <f>_FV(0,"697")</f>
        <v>#VALUE!</v>
      </c>
      <c r="B2955" s="1">
        <v>1795</v>
      </c>
      <c r="C2955" s="1">
        <v>5450</v>
      </c>
    </row>
    <row r="2956" spans="1:3" x14ac:dyDescent="0.25">
      <c r="A2956" t="e" vm="36">
        <f>_FV(0,"697")</f>
        <v>#VALUE!</v>
      </c>
      <c r="B2956" s="1">
        <v>1795</v>
      </c>
      <c r="C2956" s="1">
        <v>5750</v>
      </c>
    </row>
    <row r="2957" spans="1:3" x14ac:dyDescent="0.25">
      <c r="A2957" t="e" vm="37">
        <f>_FV(0,"181")</f>
        <v>#VALUE!</v>
      </c>
      <c r="B2957">
        <v>0.98899999999999999</v>
      </c>
      <c r="C2957" s="1">
        <v>5750</v>
      </c>
    </row>
    <row r="2958" spans="1:3" x14ac:dyDescent="0.25">
      <c r="A2958" t="e" vm="38">
        <f>_FV(0,"399")</f>
        <v>#VALUE!</v>
      </c>
      <c r="B2958">
        <v>0.91900000000000004</v>
      </c>
      <c r="C2958" s="1">
        <v>5750</v>
      </c>
    </row>
    <row r="2959" spans="1:3" x14ac:dyDescent="0.25">
      <c r="A2959" t="e" vm="39">
        <f>_FV(0,"578")</f>
        <v>#VALUE!</v>
      </c>
      <c r="B2959">
        <v>0.81899999999999995</v>
      </c>
      <c r="C2959" s="1">
        <v>5750</v>
      </c>
    </row>
    <row r="2960" spans="1:3" x14ac:dyDescent="0.25">
      <c r="A2960" t="e" vm="40">
        <f>_FV(0,"733")</f>
        <v>#VALUE!</v>
      </c>
      <c r="B2960">
        <v>0.68400000000000005</v>
      </c>
      <c r="C2960" s="1">
        <v>5750</v>
      </c>
    </row>
    <row r="2961" spans="1:3" x14ac:dyDescent="0.25">
      <c r="A2961" t="e" vm="41">
        <f>_FV(0,"856")</f>
        <v>#VALUE!</v>
      </c>
      <c r="B2961">
        <v>0.52100000000000002</v>
      </c>
      <c r="C2961" s="1">
        <v>5750</v>
      </c>
    </row>
    <row r="2962" spans="1:3" x14ac:dyDescent="0.25">
      <c r="A2962" t="e" vm="42">
        <f>_FV(0,"944")</f>
        <v>#VALUE!</v>
      </c>
      <c r="B2962">
        <v>0.33600000000000002</v>
      </c>
      <c r="C2962" s="1">
        <v>5750</v>
      </c>
    </row>
    <row r="2963" spans="1:3" x14ac:dyDescent="0.25">
      <c r="A2963" t="e" vm="43">
        <f>_FV(0,"993")</f>
        <v>#VALUE!</v>
      </c>
      <c r="B2963">
        <v>0.13600000000000001</v>
      </c>
      <c r="C2963" s="1">
        <v>5750</v>
      </c>
    </row>
    <row r="2964" spans="1:3" x14ac:dyDescent="0.25">
      <c r="A2964" s="1">
        <v>-1000</v>
      </c>
      <c r="B2964">
        <f>0.068</f>
        <v>6.8000000000000005E-2</v>
      </c>
      <c r="C2964" s="1">
        <v>5750</v>
      </c>
    </row>
    <row r="2965" spans="1:3" x14ac:dyDescent="0.25">
      <c r="A2965" t="e" vm="44">
        <f>_FV(0,"964")</f>
        <v>#VALUE!</v>
      </c>
      <c r="B2965">
        <f>0.279</f>
        <v>0.27900000000000003</v>
      </c>
      <c r="C2965" s="1">
        <v>5750</v>
      </c>
    </row>
    <row r="2966" spans="1:3" x14ac:dyDescent="0.25">
      <c r="A2966" t="e" vm="20">
        <f>_FV(0,"904")</f>
        <v>#VALUE!</v>
      </c>
      <c r="B2966">
        <f>0.436</f>
        <v>0.436</v>
      </c>
      <c r="C2966" s="1">
        <v>5750</v>
      </c>
    </row>
    <row r="2967" spans="1:3" x14ac:dyDescent="0.25">
      <c r="A2967" t="e" vm="45">
        <f>_FV(0,"826")</f>
        <v>#VALUE!</v>
      </c>
      <c r="B2967">
        <f>0.57</f>
        <v>0.56999999999999995</v>
      </c>
      <c r="C2967" s="1">
        <v>5750</v>
      </c>
    </row>
    <row r="2968" spans="1:3" x14ac:dyDescent="0.25">
      <c r="A2968" t="e" vm="46">
        <f>_FV(0,"684")</f>
        <v>#VALUE!</v>
      </c>
      <c r="B2968">
        <f>0.733</f>
        <v>0.73299999999999998</v>
      </c>
      <c r="C2968" s="1">
        <v>5750</v>
      </c>
    </row>
    <row r="2969" spans="1:3" x14ac:dyDescent="0.25">
      <c r="A2969" t="e" vm="47">
        <f>_FV(0,"521")</f>
        <v>#VALUE!</v>
      </c>
      <c r="B2969">
        <f>0.856</f>
        <v>0.85599999999999998</v>
      </c>
      <c r="C2969" s="1">
        <v>5750</v>
      </c>
    </row>
    <row r="2970" spans="1:3" x14ac:dyDescent="0.25">
      <c r="A2970" t="e" vm="48">
        <f>_FV(0,"336")</f>
        <v>#VALUE!</v>
      </c>
      <c r="B2970">
        <f>0.944</f>
        <v>0.94399999999999995</v>
      </c>
      <c r="C2970" s="1">
        <v>5750</v>
      </c>
    </row>
    <row r="2971" spans="1:3" x14ac:dyDescent="0.25">
      <c r="A2971" t="e" vm="49">
        <f>_FV(0,"128")</f>
        <v>#VALUE!</v>
      </c>
      <c r="B2971">
        <f>0.995</f>
        <v>0.995</v>
      </c>
      <c r="C2971" s="1">
        <v>5750</v>
      </c>
    </row>
    <row r="2972" spans="1:3" x14ac:dyDescent="0.25">
      <c r="A2972" t="s">
        <v>166</v>
      </c>
      <c r="B2972" s="1">
        <v>-1003</v>
      </c>
      <c r="C2972" s="1">
        <v>5750</v>
      </c>
    </row>
    <row r="2973" spans="1:3" x14ac:dyDescent="0.25">
      <c r="A2973" t="s">
        <v>105</v>
      </c>
      <c r="B2973">
        <f>0.985</f>
        <v>0.98499999999999999</v>
      </c>
      <c r="C2973" s="1">
        <v>5750</v>
      </c>
    </row>
    <row r="2974" spans="1:3" x14ac:dyDescent="0.25">
      <c r="A2974" t="s">
        <v>106</v>
      </c>
      <c r="B2974">
        <f>0.919</f>
        <v>0.91900000000000004</v>
      </c>
      <c r="C2974" s="1">
        <v>5750</v>
      </c>
    </row>
    <row r="2975" spans="1:3" x14ac:dyDescent="0.25">
      <c r="A2975" t="s">
        <v>70</v>
      </c>
      <c r="B2975">
        <f>0.819</f>
        <v>0.81899999999999995</v>
      </c>
      <c r="C2975" s="1">
        <v>5750</v>
      </c>
    </row>
    <row r="2976" spans="1:3" x14ac:dyDescent="0.25">
      <c r="A2976" t="s">
        <v>107</v>
      </c>
      <c r="B2976">
        <f>0.684</f>
        <v>0.68400000000000005</v>
      </c>
      <c r="C2976" s="1">
        <v>5750</v>
      </c>
    </row>
    <row r="2977" spans="1:3" x14ac:dyDescent="0.25">
      <c r="A2977" t="s">
        <v>108</v>
      </c>
      <c r="B2977">
        <f>0.521</f>
        <v>0.52100000000000002</v>
      </c>
      <c r="C2977" s="1">
        <v>5750</v>
      </c>
    </row>
    <row r="2978" spans="1:3" x14ac:dyDescent="0.25">
      <c r="A2978" t="s">
        <v>109</v>
      </c>
      <c r="B2978">
        <f>0.336</f>
        <v>0.33600000000000002</v>
      </c>
      <c r="C2978" s="1">
        <v>5750</v>
      </c>
    </row>
    <row r="2979" spans="1:3" x14ac:dyDescent="0.25">
      <c r="A2979" t="s">
        <v>6</v>
      </c>
      <c r="B2979">
        <f>0.136</f>
        <v>0.13600000000000001</v>
      </c>
      <c r="C2979" s="1">
        <v>5750</v>
      </c>
    </row>
    <row r="2980" spans="1:3" x14ac:dyDescent="0.25">
      <c r="A2980" s="1">
        <v>1000</v>
      </c>
      <c r="B2980">
        <v>6.8000000000000005E-2</v>
      </c>
      <c r="C2980" s="1">
        <v>5750</v>
      </c>
    </row>
    <row r="2981" spans="1:3" x14ac:dyDescent="0.25">
      <c r="A2981" t="s">
        <v>110</v>
      </c>
      <c r="B2981">
        <v>0.27</v>
      </c>
      <c r="C2981" s="1">
        <v>5750</v>
      </c>
    </row>
    <row r="2982" spans="1:3" x14ac:dyDescent="0.25">
      <c r="A2982" t="s">
        <v>167</v>
      </c>
      <c r="B2982">
        <v>0.46100000000000002</v>
      </c>
      <c r="C2982" s="1">
        <v>5750</v>
      </c>
    </row>
    <row r="2983" spans="1:3" x14ac:dyDescent="0.25">
      <c r="A2983" t="s">
        <v>10</v>
      </c>
      <c r="B2983">
        <v>0.64</v>
      </c>
      <c r="C2983" s="1">
        <v>5750</v>
      </c>
    </row>
    <row r="2984" spans="1:3" x14ac:dyDescent="0.25">
      <c r="A2984" t="s">
        <v>16</v>
      </c>
      <c r="B2984">
        <v>0.76</v>
      </c>
      <c r="C2984" s="1">
        <v>5750</v>
      </c>
    </row>
    <row r="2985" spans="1:3" x14ac:dyDescent="0.25">
      <c r="A2985" t="s">
        <v>111</v>
      </c>
      <c r="B2985">
        <v>0.85199999999999998</v>
      </c>
      <c r="C2985" s="1">
        <v>5750</v>
      </c>
    </row>
    <row r="2986" spans="1:3" x14ac:dyDescent="0.25">
      <c r="A2986" t="s">
        <v>103</v>
      </c>
      <c r="B2986">
        <v>0.94399999999999995</v>
      </c>
      <c r="C2986" s="1">
        <v>5750</v>
      </c>
    </row>
    <row r="2987" spans="1:3" x14ac:dyDescent="0.25">
      <c r="A2987" t="s">
        <v>104</v>
      </c>
      <c r="B2987">
        <v>0.99299999999999999</v>
      </c>
      <c r="C2987" s="1">
        <v>5750</v>
      </c>
    </row>
    <row r="2988" spans="1:3" x14ac:dyDescent="0.25">
      <c r="A2988" t="e" vm="50">
        <f>_FV(0,"062")</f>
        <v>#VALUE!</v>
      </c>
      <c r="B2988" s="1">
        <v>1000</v>
      </c>
      <c r="C2988" s="1">
        <v>5750</v>
      </c>
    </row>
    <row r="2989" spans="1:3" x14ac:dyDescent="0.25">
      <c r="A2989" t="e" vm="51">
        <f>_FV(0,"488")</f>
        <v>#VALUE!</v>
      </c>
      <c r="B2989" s="1">
        <v>1957</v>
      </c>
      <c r="C2989" s="1">
        <v>5750</v>
      </c>
    </row>
    <row r="2990" spans="1:3" x14ac:dyDescent="0.25">
      <c r="A2990" t="e" vm="52">
        <f>_FV(0,"806")</f>
        <v>#VALUE!</v>
      </c>
      <c r="B2990" s="1">
        <v>1856</v>
      </c>
      <c r="C2990" s="1">
        <v>5750</v>
      </c>
    </row>
    <row r="2991" spans="1:3" x14ac:dyDescent="0.25">
      <c r="A2991" s="1">
        <v>-1167</v>
      </c>
      <c r="B2991" s="1">
        <v>1653</v>
      </c>
      <c r="C2991" s="1">
        <v>5750</v>
      </c>
    </row>
    <row r="2992" spans="1:3" x14ac:dyDescent="0.25">
      <c r="A2992" s="1">
        <v>-1479</v>
      </c>
      <c r="B2992" s="1">
        <v>1381</v>
      </c>
      <c r="C2992" s="1">
        <v>5750</v>
      </c>
    </row>
    <row r="2993" spans="1:3" x14ac:dyDescent="0.25">
      <c r="A2993" s="1">
        <v>-1729</v>
      </c>
      <c r="B2993" s="1">
        <v>1051</v>
      </c>
      <c r="C2993" s="1">
        <v>5750</v>
      </c>
    </row>
    <row r="2994" spans="1:3" x14ac:dyDescent="0.25">
      <c r="A2994" s="1">
        <v>-1907</v>
      </c>
      <c r="B2994">
        <v>0.67800000000000005</v>
      </c>
      <c r="C2994" s="1">
        <v>5750</v>
      </c>
    </row>
    <row r="2995" spans="1:3" x14ac:dyDescent="0.25">
      <c r="A2995" s="1">
        <v>-2004</v>
      </c>
      <c r="B2995">
        <v>0.27600000000000002</v>
      </c>
      <c r="C2995" s="1">
        <v>5750</v>
      </c>
    </row>
    <row r="2996" spans="1:3" x14ac:dyDescent="0.25">
      <c r="A2996" s="1">
        <v>-2019</v>
      </c>
      <c r="B2996">
        <f>0.138</f>
        <v>0.13800000000000001</v>
      </c>
      <c r="C2996" s="1">
        <v>5750</v>
      </c>
    </row>
    <row r="2997" spans="1:3" x14ac:dyDescent="0.25">
      <c r="A2997" s="1">
        <v>-1948</v>
      </c>
      <c r="B2997">
        <f>0.548</f>
        <v>0.54800000000000004</v>
      </c>
      <c r="C2997" s="1">
        <v>5750</v>
      </c>
    </row>
    <row r="2998" spans="1:3" x14ac:dyDescent="0.25">
      <c r="A2998" s="1">
        <v>-1824</v>
      </c>
      <c r="B2998">
        <f>0.875</f>
        <v>0.875</v>
      </c>
      <c r="C2998" s="1">
        <v>5750</v>
      </c>
    </row>
    <row r="2999" spans="1:3" x14ac:dyDescent="0.25">
      <c r="A2999" s="1">
        <v>-1655</v>
      </c>
      <c r="B2999" s="1">
        <v>-1165</v>
      </c>
      <c r="C2999" s="1">
        <v>5750</v>
      </c>
    </row>
    <row r="3000" spans="1:3" x14ac:dyDescent="0.25">
      <c r="A3000" s="1">
        <v>-1381</v>
      </c>
      <c r="B3000" s="1">
        <v>-1479</v>
      </c>
      <c r="C3000" s="1">
        <v>5750</v>
      </c>
    </row>
    <row r="3001" spans="1:3" x14ac:dyDescent="0.25">
      <c r="A3001" s="1">
        <v>-1051</v>
      </c>
      <c r="B3001" s="1">
        <v>-1729</v>
      </c>
      <c r="C3001" s="1">
        <v>5750</v>
      </c>
    </row>
    <row r="3002" spans="1:3" x14ac:dyDescent="0.25">
      <c r="A3002" t="e" vm="53">
        <f>_FV(0,"678")</f>
        <v>#VALUE!</v>
      </c>
      <c r="B3002" s="1">
        <v>-1907</v>
      </c>
      <c r="C3002" s="1">
        <v>5750</v>
      </c>
    </row>
    <row r="3003" spans="1:3" x14ac:dyDescent="0.25">
      <c r="A3003" t="e" vm="54">
        <f>_FV(0,"273")</f>
        <v>#VALUE!</v>
      </c>
      <c r="B3003" s="1">
        <v>-2005</v>
      </c>
      <c r="C3003" s="1">
        <v>5750</v>
      </c>
    </row>
    <row r="3004" spans="1:3" x14ac:dyDescent="0.25">
      <c r="A3004" t="s">
        <v>114</v>
      </c>
      <c r="B3004" s="1">
        <v>-2021</v>
      </c>
      <c r="C3004" s="1">
        <v>5750</v>
      </c>
    </row>
    <row r="3005" spans="1:3" x14ac:dyDescent="0.25">
      <c r="A3005" t="s">
        <v>73</v>
      </c>
      <c r="B3005" s="1">
        <v>-1982</v>
      </c>
      <c r="C3005" s="1">
        <v>5750</v>
      </c>
    </row>
    <row r="3006" spans="1:3" x14ac:dyDescent="0.25">
      <c r="A3006" t="s">
        <v>115</v>
      </c>
      <c r="B3006" s="1">
        <v>-1856</v>
      </c>
      <c r="C3006" s="1">
        <v>5750</v>
      </c>
    </row>
    <row r="3007" spans="1:3" x14ac:dyDescent="0.25">
      <c r="A3007" s="1">
        <v>1167</v>
      </c>
      <c r="B3007" s="1">
        <v>-1653</v>
      </c>
      <c r="C3007" s="1">
        <v>5750</v>
      </c>
    </row>
    <row r="3008" spans="1:3" x14ac:dyDescent="0.25">
      <c r="A3008" s="1">
        <v>1479</v>
      </c>
      <c r="B3008" s="1">
        <v>-1381</v>
      </c>
      <c r="C3008" s="1">
        <v>5750</v>
      </c>
    </row>
    <row r="3009" spans="1:3" x14ac:dyDescent="0.25">
      <c r="A3009" s="1">
        <v>1729</v>
      </c>
      <c r="B3009" s="1">
        <v>-1051</v>
      </c>
      <c r="C3009" s="1">
        <v>5750</v>
      </c>
    </row>
    <row r="3010" spans="1:3" x14ac:dyDescent="0.25">
      <c r="A3010" s="1">
        <v>1907</v>
      </c>
      <c r="B3010">
        <f>0.678</f>
        <v>0.67800000000000005</v>
      </c>
      <c r="C3010" s="1">
        <v>5750</v>
      </c>
    </row>
    <row r="3011" spans="1:3" x14ac:dyDescent="0.25">
      <c r="A3011" s="1">
        <v>2004</v>
      </c>
      <c r="B3011">
        <f>0.276</f>
        <v>0.27600000000000002</v>
      </c>
      <c r="C3011" s="1">
        <v>5750</v>
      </c>
    </row>
    <row r="3012" spans="1:3" x14ac:dyDescent="0.25">
      <c r="A3012" s="1">
        <v>2019</v>
      </c>
      <c r="B3012">
        <v>0.13800000000000001</v>
      </c>
      <c r="C3012" s="1">
        <v>5750</v>
      </c>
    </row>
    <row r="3013" spans="1:3" x14ac:dyDescent="0.25">
      <c r="A3013" s="1">
        <v>1948</v>
      </c>
      <c r="B3013">
        <v>0.54600000000000004</v>
      </c>
      <c r="C3013" s="1">
        <v>5750</v>
      </c>
    </row>
    <row r="3014" spans="1:3" x14ac:dyDescent="0.25">
      <c r="A3014" s="1">
        <v>1796</v>
      </c>
      <c r="B3014">
        <v>0.93100000000000005</v>
      </c>
      <c r="C3014" s="1">
        <v>5750</v>
      </c>
    </row>
    <row r="3015" spans="1:3" x14ac:dyDescent="0.25">
      <c r="A3015" s="1">
        <v>1568</v>
      </c>
      <c r="B3015" s="1">
        <v>1279</v>
      </c>
      <c r="C3015" s="1">
        <v>5750</v>
      </c>
    </row>
    <row r="3016" spans="1:3" x14ac:dyDescent="0.25">
      <c r="A3016" s="1">
        <v>1324</v>
      </c>
      <c r="B3016" s="1">
        <v>1529</v>
      </c>
      <c r="C3016" s="1">
        <v>5750</v>
      </c>
    </row>
    <row r="3017" spans="1:3" x14ac:dyDescent="0.25">
      <c r="A3017" s="1">
        <v>1054</v>
      </c>
      <c r="B3017" s="1">
        <v>1727</v>
      </c>
      <c r="C3017" s="1">
        <v>5750</v>
      </c>
    </row>
    <row r="3018" spans="1:3" x14ac:dyDescent="0.25">
      <c r="A3018" t="s">
        <v>112</v>
      </c>
      <c r="B3018" s="1">
        <v>1907</v>
      </c>
      <c r="C3018" s="1">
        <v>5750</v>
      </c>
    </row>
    <row r="3019" spans="1:3" x14ac:dyDescent="0.25">
      <c r="A3019" t="s">
        <v>113</v>
      </c>
      <c r="B3019" s="1">
        <v>2004</v>
      </c>
      <c r="C3019" s="1">
        <v>5750</v>
      </c>
    </row>
    <row r="3020" spans="1:3" x14ac:dyDescent="0.25">
      <c r="A3020" t="e" vm="55">
        <f>_FV(0,"145")</f>
        <v>#VALUE!</v>
      </c>
      <c r="B3020" s="1">
        <v>2019</v>
      </c>
      <c r="C3020" s="1">
        <v>5750</v>
      </c>
    </row>
    <row r="3021" spans="1:3" x14ac:dyDescent="0.25">
      <c r="A3021" t="e" vm="56">
        <f>_FV(0,"372")</f>
        <v>#VALUE!</v>
      </c>
      <c r="B3021" s="1">
        <v>1988</v>
      </c>
      <c r="C3021" s="1">
        <v>5750</v>
      </c>
    </row>
    <row r="3022" spans="1:3" x14ac:dyDescent="0.25">
      <c r="A3022" t="e" vm="57">
        <f>_FV(0,"586")</f>
        <v>#VALUE!</v>
      </c>
      <c r="B3022" s="1">
        <v>1638</v>
      </c>
      <c r="C3022" s="1">
        <v>5750</v>
      </c>
    </row>
    <row r="3023" spans="1:3" x14ac:dyDescent="0.25">
      <c r="A3023" t="e" vm="57">
        <f>_FV(0,"586")</f>
        <v>#VALUE!</v>
      </c>
      <c r="B3023" s="1">
        <v>1638</v>
      </c>
      <c r="C3023" s="1">
        <v>6050</v>
      </c>
    </row>
    <row r="3024" spans="1:3" x14ac:dyDescent="0.25">
      <c r="A3024" t="e" vm="58">
        <f>_FV(0,"185")</f>
        <v>#VALUE!</v>
      </c>
      <c r="B3024">
        <v>0.88900000000000001</v>
      </c>
      <c r="C3024" s="1">
        <v>6050</v>
      </c>
    </row>
    <row r="3025" spans="1:3" x14ac:dyDescent="0.25">
      <c r="A3025" t="e" vm="59">
        <f>_FV(0,"362")</f>
        <v>#VALUE!</v>
      </c>
      <c r="B3025">
        <v>0.83299999999999996</v>
      </c>
      <c r="C3025" s="1">
        <v>6050</v>
      </c>
    </row>
    <row r="3026" spans="1:3" x14ac:dyDescent="0.25">
      <c r="A3026" t="e" vm="60">
        <f>_FV(0,"545")</f>
        <v>#VALUE!</v>
      </c>
      <c r="B3026">
        <v>0.73</v>
      </c>
      <c r="C3026" s="1">
        <v>6050</v>
      </c>
    </row>
    <row r="3027" spans="1:3" x14ac:dyDescent="0.25">
      <c r="A3027" t="e" vm="61">
        <f>_FV(0,"742")</f>
        <v>#VALUE!</v>
      </c>
      <c r="B3027">
        <v>0.52400000000000002</v>
      </c>
      <c r="C3027" s="1">
        <v>6050</v>
      </c>
    </row>
    <row r="3028" spans="1:3" x14ac:dyDescent="0.25">
      <c r="A3028" t="e" vm="62">
        <f>_FV(0,"833")</f>
        <v>#VALUE!</v>
      </c>
      <c r="B3028">
        <v>0.36199999999999999</v>
      </c>
      <c r="C3028" s="1">
        <v>6050</v>
      </c>
    </row>
    <row r="3029" spans="1:3" x14ac:dyDescent="0.25">
      <c r="A3029" t="e" vm="63">
        <f>_FV(0,"889")</f>
        <v>#VALUE!</v>
      </c>
      <c r="B3029">
        <v>0.185</v>
      </c>
      <c r="C3029" s="1">
        <v>6050</v>
      </c>
    </row>
    <row r="3030" spans="1:3" x14ac:dyDescent="0.25">
      <c r="A3030" t="e" vm="64">
        <f>_FV(0,"908")</f>
        <v>#VALUE!</v>
      </c>
      <c r="B3030">
        <f>0</f>
        <v>0</v>
      </c>
      <c r="C3030" s="1">
        <v>6050</v>
      </c>
    </row>
    <row r="3031" spans="1:3" x14ac:dyDescent="0.25">
      <c r="A3031" t="e" vm="63">
        <f>_FV(0,"889")</f>
        <v>#VALUE!</v>
      </c>
      <c r="B3031">
        <f>0.185</f>
        <v>0.185</v>
      </c>
      <c r="C3031" s="1">
        <v>6050</v>
      </c>
    </row>
    <row r="3032" spans="1:3" x14ac:dyDescent="0.25">
      <c r="A3032" t="e" vm="62">
        <f>_FV(0,"833")</f>
        <v>#VALUE!</v>
      </c>
      <c r="B3032">
        <f>0.362</f>
        <v>0.36199999999999999</v>
      </c>
      <c r="C3032" s="1">
        <v>6050</v>
      </c>
    </row>
    <row r="3033" spans="1:3" x14ac:dyDescent="0.25">
      <c r="A3033" t="e" vm="61">
        <f>_FV(0,"742")</f>
        <v>#VALUE!</v>
      </c>
      <c r="B3033">
        <f>0.524</f>
        <v>0.52400000000000002</v>
      </c>
      <c r="C3033" s="1">
        <v>6050</v>
      </c>
    </row>
    <row r="3034" spans="1:3" x14ac:dyDescent="0.25">
      <c r="A3034" t="e" vm="65">
        <f>_FV(0,"62")</f>
        <v>#VALUE!</v>
      </c>
      <c r="B3034">
        <f>0.663</f>
        <v>0.66300000000000003</v>
      </c>
      <c r="C3034" s="1">
        <v>6050</v>
      </c>
    </row>
    <row r="3035" spans="1:3" x14ac:dyDescent="0.25">
      <c r="A3035" t="e" vm="66">
        <f>_FV(0,"472")</f>
        <v>#VALUE!</v>
      </c>
      <c r="B3035">
        <f>0.776</f>
        <v>0.77600000000000002</v>
      </c>
      <c r="C3035" s="1">
        <v>6050</v>
      </c>
    </row>
    <row r="3036" spans="1:3" x14ac:dyDescent="0.25">
      <c r="A3036" t="e" vm="67">
        <f>_FV(0,"304")</f>
        <v>#VALUE!</v>
      </c>
      <c r="B3036">
        <f>0.855</f>
        <v>0.85499999999999998</v>
      </c>
      <c r="C3036" s="1">
        <v>6050</v>
      </c>
    </row>
    <row r="3037" spans="1:3" x14ac:dyDescent="0.25">
      <c r="A3037" t="e" vm="68">
        <f>_FV(0,"111")</f>
        <v>#VALUE!</v>
      </c>
      <c r="B3037">
        <f>0.902</f>
        <v>0.90200000000000002</v>
      </c>
      <c r="C3037" s="1">
        <v>6050</v>
      </c>
    </row>
    <row r="3038" spans="1:3" x14ac:dyDescent="0.25">
      <c r="A3038" t="s">
        <v>121</v>
      </c>
      <c r="B3038">
        <f>0.909</f>
        <v>0.90900000000000003</v>
      </c>
      <c r="C3038" s="1">
        <v>6050</v>
      </c>
    </row>
    <row r="3039" spans="1:3" x14ac:dyDescent="0.25">
      <c r="A3039" t="s">
        <v>122</v>
      </c>
      <c r="B3039">
        <f>0.891</f>
        <v>0.89100000000000001</v>
      </c>
      <c r="C3039" s="1">
        <v>6050</v>
      </c>
    </row>
    <row r="3040" spans="1:3" x14ac:dyDescent="0.25">
      <c r="A3040" t="s">
        <v>119</v>
      </c>
      <c r="B3040">
        <f>0.833</f>
        <v>0.83299999999999996</v>
      </c>
      <c r="C3040" s="1">
        <v>6050</v>
      </c>
    </row>
    <row r="3041" spans="1:3" x14ac:dyDescent="0.25">
      <c r="A3041" t="s">
        <v>118</v>
      </c>
      <c r="B3041">
        <f>0.742</f>
        <v>0.74199999999999999</v>
      </c>
      <c r="C3041" s="1">
        <v>6050</v>
      </c>
    </row>
    <row r="3042" spans="1:3" x14ac:dyDescent="0.25">
      <c r="A3042" t="s">
        <v>123</v>
      </c>
      <c r="B3042">
        <f>0.604</f>
        <v>0.60399999999999998</v>
      </c>
      <c r="C3042" s="1">
        <v>6050</v>
      </c>
    </row>
    <row r="3043" spans="1:3" x14ac:dyDescent="0.25">
      <c r="A3043" t="s">
        <v>117</v>
      </c>
      <c r="B3043">
        <f>0.362</f>
        <v>0.36199999999999999</v>
      </c>
      <c r="C3043" s="1">
        <v>6050</v>
      </c>
    </row>
    <row r="3044" spans="1:3" x14ac:dyDescent="0.25">
      <c r="A3044" t="s">
        <v>116</v>
      </c>
      <c r="B3044">
        <f>0.185</f>
        <v>0.185</v>
      </c>
      <c r="C3044" s="1">
        <v>6050</v>
      </c>
    </row>
    <row r="3045" spans="1:3" x14ac:dyDescent="0.25">
      <c r="A3045" t="s">
        <v>124</v>
      </c>
      <c r="B3045">
        <f>0</f>
        <v>0</v>
      </c>
      <c r="C3045" s="1">
        <v>6050</v>
      </c>
    </row>
    <row r="3046" spans="1:3" x14ac:dyDescent="0.25">
      <c r="A3046" t="s">
        <v>116</v>
      </c>
      <c r="B3046">
        <v>0.185</v>
      </c>
      <c r="C3046" s="1">
        <v>6050</v>
      </c>
    </row>
    <row r="3047" spans="1:3" x14ac:dyDescent="0.25">
      <c r="A3047" t="s">
        <v>117</v>
      </c>
      <c r="B3047">
        <v>0.36199999999999999</v>
      </c>
      <c r="C3047" s="1">
        <v>6050</v>
      </c>
    </row>
    <row r="3048" spans="1:3" x14ac:dyDescent="0.25">
      <c r="A3048" t="s">
        <v>123</v>
      </c>
      <c r="B3048">
        <v>0.60399999999999998</v>
      </c>
      <c r="C3048" s="1">
        <v>6050</v>
      </c>
    </row>
    <row r="3049" spans="1:3" x14ac:dyDescent="0.25">
      <c r="A3049" t="s">
        <v>118</v>
      </c>
      <c r="B3049">
        <v>0.74199999999999999</v>
      </c>
      <c r="C3049" s="1">
        <v>6050</v>
      </c>
    </row>
    <row r="3050" spans="1:3" x14ac:dyDescent="0.25">
      <c r="A3050" t="s">
        <v>119</v>
      </c>
      <c r="B3050">
        <v>0.83299999999999996</v>
      </c>
      <c r="C3050" s="1">
        <v>6050</v>
      </c>
    </row>
    <row r="3051" spans="1:3" x14ac:dyDescent="0.25">
      <c r="A3051" t="s">
        <v>120</v>
      </c>
      <c r="B3051">
        <v>0.88900000000000001</v>
      </c>
      <c r="C3051" s="1">
        <v>6050</v>
      </c>
    </row>
    <row r="3052" spans="1:3" x14ac:dyDescent="0.25">
      <c r="A3052" t="e" vm="69">
        <f>_FV(0,"065")</f>
        <v>#VALUE!</v>
      </c>
      <c r="B3052">
        <v>0.90100000000000002</v>
      </c>
      <c r="C3052" s="1">
        <v>6050</v>
      </c>
    </row>
    <row r="3053" spans="1:3" x14ac:dyDescent="0.25">
      <c r="A3053" t="e" vm="70">
        <f>_FV(0,"492")</f>
        <v>#VALUE!</v>
      </c>
      <c r="B3053" s="1">
        <v>1857</v>
      </c>
      <c r="C3053" s="1">
        <v>6050</v>
      </c>
    </row>
    <row r="3054" spans="1:3" x14ac:dyDescent="0.25">
      <c r="A3054" t="e" vm="71">
        <f>_FV(0,"768")</f>
        <v>#VALUE!</v>
      </c>
      <c r="B3054" s="1">
        <v>1769</v>
      </c>
      <c r="C3054" s="1">
        <v>6050</v>
      </c>
    </row>
    <row r="3055" spans="1:3" x14ac:dyDescent="0.25">
      <c r="A3055" s="1">
        <v>-1118</v>
      </c>
      <c r="B3055" s="1">
        <v>1572</v>
      </c>
      <c r="C3055" s="1">
        <v>6050</v>
      </c>
    </row>
    <row r="3056" spans="1:3" x14ac:dyDescent="0.25">
      <c r="A3056" s="1">
        <v>-1312</v>
      </c>
      <c r="B3056" s="1">
        <v>1415</v>
      </c>
      <c r="C3056" s="1">
        <v>6050</v>
      </c>
    </row>
    <row r="3057" spans="1:3" x14ac:dyDescent="0.25">
      <c r="A3057" s="1">
        <v>-1576</v>
      </c>
      <c r="B3057" s="1">
        <v>1112</v>
      </c>
      <c r="C3057" s="1">
        <v>6050</v>
      </c>
    </row>
    <row r="3058" spans="1:3" x14ac:dyDescent="0.25">
      <c r="A3058" s="1">
        <v>-1769</v>
      </c>
      <c r="B3058">
        <v>0.76800000000000002</v>
      </c>
      <c r="C3058" s="1">
        <v>6050</v>
      </c>
    </row>
    <row r="3059" spans="1:3" x14ac:dyDescent="0.25">
      <c r="A3059" s="1">
        <v>-1888</v>
      </c>
      <c r="B3059">
        <v>0.39200000000000002</v>
      </c>
      <c r="C3059" s="1">
        <v>6050</v>
      </c>
    </row>
    <row r="3060" spans="1:3" x14ac:dyDescent="0.25">
      <c r="A3060" s="1">
        <v>-1929</v>
      </c>
      <c r="B3060">
        <f>0</f>
        <v>0</v>
      </c>
      <c r="C3060" s="1">
        <v>6050</v>
      </c>
    </row>
    <row r="3061" spans="1:3" x14ac:dyDescent="0.25">
      <c r="A3061" s="1">
        <v>-1888</v>
      </c>
      <c r="B3061">
        <f>0.392</f>
        <v>0.39200000000000002</v>
      </c>
      <c r="C3061" s="1">
        <v>6050</v>
      </c>
    </row>
    <row r="3062" spans="1:3" x14ac:dyDescent="0.25">
      <c r="A3062" s="1">
        <v>-1769</v>
      </c>
      <c r="B3062">
        <f>0.768</f>
        <v>0.76800000000000002</v>
      </c>
      <c r="C3062" s="1">
        <v>6050</v>
      </c>
    </row>
    <row r="3063" spans="1:3" x14ac:dyDescent="0.25">
      <c r="A3063" s="1">
        <v>-1576</v>
      </c>
      <c r="B3063" s="1">
        <v>-1112</v>
      </c>
      <c r="C3063" s="1">
        <v>6050</v>
      </c>
    </row>
    <row r="3064" spans="1:3" x14ac:dyDescent="0.25">
      <c r="A3064" s="1">
        <v>-1316</v>
      </c>
      <c r="B3064" s="1">
        <v>-1410</v>
      </c>
      <c r="C3064" s="1">
        <v>6050</v>
      </c>
    </row>
    <row r="3065" spans="1:3" x14ac:dyDescent="0.25">
      <c r="A3065" s="1">
        <v>-1002</v>
      </c>
      <c r="B3065" s="1">
        <v>-1648</v>
      </c>
      <c r="C3065" s="1">
        <v>6050</v>
      </c>
    </row>
    <row r="3066" spans="1:3" x14ac:dyDescent="0.25">
      <c r="A3066" t="e" vm="72">
        <f>_FV(0,"646")</f>
        <v>#VALUE!</v>
      </c>
      <c r="B3066" s="1">
        <v>-1817</v>
      </c>
      <c r="C3066" s="1">
        <v>6050</v>
      </c>
    </row>
    <row r="3067" spans="1:3" x14ac:dyDescent="0.25">
      <c r="A3067" t="e" vm="73">
        <f>_FV(0,"259")</f>
        <v>#VALUE!</v>
      </c>
      <c r="B3067" s="1">
        <v>-1912</v>
      </c>
      <c r="C3067" s="1">
        <v>6050</v>
      </c>
    </row>
    <row r="3068" spans="1:3" x14ac:dyDescent="0.25">
      <c r="A3068" t="s">
        <v>168</v>
      </c>
      <c r="B3068" s="1">
        <v>-1928</v>
      </c>
      <c r="C3068" s="1">
        <v>6050</v>
      </c>
    </row>
    <row r="3069" spans="1:3" x14ac:dyDescent="0.25">
      <c r="A3069" t="s">
        <v>169</v>
      </c>
      <c r="B3069" s="1">
        <v>-1889</v>
      </c>
      <c r="C3069" s="1">
        <v>6050</v>
      </c>
    </row>
    <row r="3070" spans="1:3" x14ac:dyDescent="0.25">
      <c r="A3070" t="s">
        <v>125</v>
      </c>
      <c r="B3070" s="1">
        <v>-1769</v>
      </c>
      <c r="C3070" s="1">
        <v>6050</v>
      </c>
    </row>
    <row r="3071" spans="1:3" x14ac:dyDescent="0.25">
      <c r="A3071" s="1">
        <v>1112</v>
      </c>
      <c r="B3071" s="1">
        <v>-1576</v>
      </c>
      <c r="C3071" s="1">
        <v>6050</v>
      </c>
    </row>
    <row r="3072" spans="1:3" x14ac:dyDescent="0.25">
      <c r="A3072" s="1">
        <v>1415</v>
      </c>
      <c r="B3072" s="1">
        <v>-1312</v>
      </c>
      <c r="C3072" s="1">
        <v>6050</v>
      </c>
    </row>
    <row r="3073" spans="1:3" x14ac:dyDescent="0.25">
      <c r="A3073" s="1">
        <v>1572</v>
      </c>
      <c r="B3073" s="1">
        <v>-1118</v>
      </c>
      <c r="C3073" s="1">
        <v>6050</v>
      </c>
    </row>
    <row r="3074" spans="1:3" x14ac:dyDescent="0.25">
      <c r="A3074" s="1">
        <v>1769</v>
      </c>
      <c r="B3074">
        <f>0.768</f>
        <v>0.76800000000000002</v>
      </c>
      <c r="C3074" s="1">
        <v>6050</v>
      </c>
    </row>
    <row r="3075" spans="1:3" x14ac:dyDescent="0.25">
      <c r="A3075" s="1">
        <v>1888</v>
      </c>
      <c r="B3075">
        <f>0.392</f>
        <v>0.39200000000000002</v>
      </c>
      <c r="C3075" s="1">
        <v>6050</v>
      </c>
    </row>
    <row r="3076" spans="1:3" x14ac:dyDescent="0.25">
      <c r="A3076" s="1">
        <v>1929</v>
      </c>
      <c r="B3076">
        <f>0</f>
        <v>0</v>
      </c>
      <c r="C3076" s="1">
        <v>6050</v>
      </c>
    </row>
    <row r="3077" spans="1:3" x14ac:dyDescent="0.25">
      <c r="A3077" s="1">
        <v>1888</v>
      </c>
      <c r="B3077">
        <v>0.39200000000000002</v>
      </c>
      <c r="C3077" s="1">
        <v>6050</v>
      </c>
    </row>
    <row r="3078" spans="1:3" x14ac:dyDescent="0.25">
      <c r="A3078" s="1">
        <v>1769</v>
      </c>
      <c r="B3078">
        <v>0.76800000000000002</v>
      </c>
      <c r="C3078" s="1">
        <v>6050</v>
      </c>
    </row>
    <row r="3079" spans="1:3" x14ac:dyDescent="0.25">
      <c r="A3079" s="1">
        <v>1572</v>
      </c>
      <c r="B3079" s="1">
        <v>1118</v>
      </c>
      <c r="C3079" s="1">
        <v>6050</v>
      </c>
    </row>
    <row r="3080" spans="1:3" x14ac:dyDescent="0.25">
      <c r="A3080" s="1">
        <v>1415</v>
      </c>
      <c r="B3080" s="1">
        <v>1312</v>
      </c>
      <c r="C3080" s="1">
        <v>6050</v>
      </c>
    </row>
    <row r="3081" spans="1:3" x14ac:dyDescent="0.25">
      <c r="A3081" s="1">
        <v>1112</v>
      </c>
      <c r="B3081" s="1">
        <v>1576</v>
      </c>
      <c r="C3081" s="1">
        <v>6050</v>
      </c>
    </row>
    <row r="3082" spans="1:3" x14ac:dyDescent="0.25">
      <c r="A3082" t="s">
        <v>125</v>
      </c>
      <c r="B3082" s="1">
        <v>1769</v>
      </c>
      <c r="C3082" s="1">
        <v>6050</v>
      </c>
    </row>
    <row r="3083" spans="1:3" x14ac:dyDescent="0.25">
      <c r="A3083" t="s">
        <v>126</v>
      </c>
      <c r="B3083" s="1">
        <v>1888</v>
      </c>
      <c r="C3083" s="1">
        <v>6050</v>
      </c>
    </row>
    <row r="3084" spans="1:3" x14ac:dyDescent="0.25">
      <c r="A3084">
        <f>0</f>
        <v>0</v>
      </c>
      <c r="B3084" s="1">
        <v>1929</v>
      </c>
      <c r="C3084" s="1">
        <v>6050</v>
      </c>
    </row>
    <row r="3085" spans="1:3" x14ac:dyDescent="0.25">
      <c r="A3085" t="e" vm="74">
        <f>_FV(0,"377")</f>
        <v>#VALUE!</v>
      </c>
      <c r="B3085" s="1">
        <v>1890</v>
      </c>
      <c r="C3085" s="1">
        <v>6050</v>
      </c>
    </row>
    <row r="3086" spans="1:3" x14ac:dyDescent="0.25">
      <c r="A3086" t="e" vm="75">
        <f>_FV(0,"58")</f>
        <v>#VALUE!</v>
      </c>
      <c r="B3086" s="1">
        <v>1580</v>
      </c>
      <c r="C3086" s="1">
        <v>6050</v>
      </c>
    </row>
    <row r="3087" spans="1:3" x14ac:dyDescent="0.25">
      <c r="A3087" t="e" vm="75">
        <f>_FV(0,"58")</f>
        <v>#VALUE!</v>
      </c>
      <c r="B3087" s="1">
        <v>1580</v>
      </c>
      <c r="C3087" s="1">
        <v>6350</v>
      </c>
    </row>
    <row r="3088" spans="1:3" x14ac:dyDescent="0.25">
      <c r="A3088" t="e" vm="76">
        <f>_FV(0,"053")</f>
        <v>#VALUE!</v>
      </c>
      <c r="B3088">
        <v>0.77400000000000002</v>
      </c>
      <c r="C3088" s="1">
        <v>6350</v>
      </c>
    </row>
    <row r="3089" spans="1:3" x14ac:dyDescent="0.25">
      <c r="A3089" t="e" vm="77">
        <f>_FV(0,"257")</f>
        <v>#VALUE!</v>
      </c>
      <c r="B3089">
        <v>0.72399999999999998</v>
      </c>
      <c r="C3089" s="1">
        <v>6350</v>
      </c>
    </row>
    <row r="3090" spans="1:3" x14ac:dyDescent="0.25">
      <c r="A3090" t="e" vm="38">
        <f>_FV(0,"399")</f>
        <v>#VALUE!</v>
      </c>
      <c r="B3090">
        <v>0.65700000000000003</v>
      </c>
      <c r="C3090" s="1">
        <v>6350</v>
      </c>
    </row>
    <row r="3091" spans="1:3" x14ac:dyDescent="0.25">
      <c r="A3091" t="e" vm="78">
        <f>_FV(0,"525")</f>
        <v>#VALUE!</v>
      </c>
      <c r="B3091">
        <v>0.56200000000000006</v>
      </c>
      <c r="C3091" s="1">
        <v>6350</v>
      </c>
    </row>
    <row r="3092" spans="1:3" x14ac:dyDescent="0.25">
      <c r="A3092" t="e" vm="79">
        <f>_FV(0,"628")</f>
        <v>#VALUE!</v>
      </c>
      <c r="B3092">
        <v>0.443</v>
      </c>
      <c r="C3092" s="1">
        <v>6350</v>
      </c>
    </row>
    <row r="3093" spans="1:3" x14ac:dyDescent="0.25">
      <c r="A3093" t="e" vm="80">
        <f>_FV(0,"705")</f>
        <v>#VALUE!</v>
      </c>
      <c r="B3093">
        <v>0.30599999999999999</v>
      </c>
      <c r="C3093" s="1">
        <v>6350</v>
      </c>
    </row>
    <row r="3094" spans="1:3" x14ac:dyDescent="0.25">
      <c r="A3094" t="e" vm="81">
        <f>_FV(0,"753")</f>
        <v>#VALUE!</v>
      </c>
      <c r="B3094">
        <v>0.156</v>
      </c>
      <c r="C3094" s="1">
        <v>6350</v>
      </c>
    </row>
    <row r="3095" spans="1:3" x14ac:dyDescent="0.25">
      <c r="A3095" t="e" vm="82">
        <f>_FV(0,"769")</f>
        <v>#VALUE!</v>
      </c>
      <c r="B3095">
        <f>0</f>
        <v>0</v>
      </c>
      <c r="C3095" s="1">
        <v>6350</v>
      </c>
    </row>
    <row r="3096" spans="1:3" x14ac:dyDescent="0.25">
      <c r="A3096" t="e" vm="81">
        <f>_FV(0,"753")</f>
        <v>#VALUE!</v>
      </c>
      <c r="B3096">
        <f>0.156</f>
        <v>0.156</v>
      </c>
      <c r="C3096" s="1">
        <v>6350</v>
      </c>
    </row>
    <row r="3097" spans="1:3" x14ac:dyDescent="0.25">
      <c r="A3097" t="e" vm="80">
        <f>_FV(0,"705")</f>
        <v>#VALUE!</v>
      </c>
      <c r="B3097">
        <f>0.306</f>
        <v>0.30599999999999999</v>
      </c>
      <c r="C3097" s="1">
        <v>6350</v>
      </c>
    </row>
    <row r="3098" spans="1:3" x14ac:dyDescent="0.25">
      <c r="A3098" t="e" vm="79">
        <f>_FV(0,"628")</f>
        <v>#VALUE!</v>
      </c>
      <c r="B3098">
        <f>0.443</f>
        <v>0.443</v>
      </c>
      <c r="C3098" s="1">
        <v>6350</v>
      </c>
    </row>
    <row r="3099" spans="1:3" x14ac:dyDescent="0.25">
      <c r="A3099" t="e" vm="78">
        <f>_FV(0,"525")</f>
        <v>#VALUE!</v>
      </c>
      <c r="B3099">
        <f>0.562</f>
        <v>0.56200000000000006</v>
      </c>
      <c r="C3099" s="1">
        <v>6350</v>
      </c>
    </row>
    <row r="3100" spans="1:3" x14ac:dyDescent="0.25">
      <c r="A3100" t="e" vm="38">
        <f>_FV(0,"399")</f>
        <v>#VALUE!</v>
      </c>
      <c r="B3100">
        <f>0.657</f>
        <v>0.65700000000000003</v>
      </c>
      <c r="C3100" s="1">
        <v>6350</v>
      </c>
    </row>
    <row r="3101" spans="1:3" x14ac:dyDescent="0.25">
      <c r="A3101" t="e" vm="77">
        <f>_FV(0,"257")</f>
        <v>#VALUE!</v>
      </c>
      <c r="B3101">
        <f>0.724</f>
        <v>0.72399999999999998</v>
      </c>
      <c r="C3101" s="1">
        <v>6350</v>
      </c>
    </row>
    <row r="3102" spans="1:3" x14ac:dyDescent="0.25">
      <c r="A3102" t="e" vm="83">
        <f>_FV(0,"091")</f>
        <v>#VALUE!</v>
      </c>
      <c r="B3102">
        <f>0.765</f>
        <v>0.76500000000000001</v>
      </c>
      <c r="C3102" s="1">
        <v>6350</v>
      </c>
    </row>
    <row r="3103" spans="1:3" x14ac:dyDescent="0.25">
      <c r="A3103" t="s">
        <v>24</v>
      </c>
      <c r="B3103">
        <f>0.754</f>
        <v>0.754</v>
      </c>
      <c r="C3103" s="1">
        <v>6350</v>
      </c>
    </row>
    <row r="3104" spans="1:3" x14ac:dyDescent="0.25">
      <c r="A3104" t="s">
        <v>131</v>
      </c>
      <c r="B3104">
        <f>0.705</f>
        <v>0.70499999999999996</v>
      </c>
      <c r="C3104" s="1">
        <v>6350</v>
      </c>
    </row>
    <row r="3105" spans="1:3" x14ac:dyDescent="0.25">
      <c r="A3105" t="s">
        <v>84</v>
      </c>
      <c r="B3105">
        <f>0.628</f>
        <v>0.628</v>
      </c>
      <c r="C3105" s="1">
        <v>6350</v>
      </c>
    </row>
    <row r="3106" spans="1:3" x14ac:dyDescent="0.25">
      <c r="A3106" t="s">
        <v>33</v>
      </c>
      <c r="B3106">
        <f>0.49</f>
        <v>0.49</v>
      </c>
      <c r="C3106" s="1">
        <v>6350</v>
      </c>
    </row>
    <row r="3107" spans="1:3" x14ac:dyDescent="0.25">
      <c r="A3107" t="s">
        <v>132</v>
      </c>
      <c r="B3107">
        <f>0.306</f>
        <v>0.30599999999999999</v>
      </c>
      <c r="C3107" s="1">
        <v>6350</v>
      </c>
    </row>
    <row r="3108" spans="1:3" x14ac:dyDescent="0.25">
      <c r="A3108" t="s">
        <v>55</v>
      </c>
      <c r="B3108">
        <f>0.156</f>
        <v>0.156</v>
      </c>
      <c r="C3108" s="1">
        <v>6350</v>
      </c>
    </row>
    <row r="3109" spans="1:3" x14ac:dyDescent="0.25">
      <c r="A3109" t="s">
        <v>127</v>
      </c>
      <c r="B3109">
        <v>5.2999999999999999E-2</v>
      </c>
      <c r="C3109" s="1">
        <v>6350</v>
      </c>
    </row>
    <row r="3110" spans="1:3" x14ac:dyDescent="0.25">
      <c r="A3110" t="s">
        <v>128</v>
      </c>
      <c r="B3110">
        <v>0.25700000000000001</v>
      </c>
      <c r="C3110" s="1">
        <v>6350</v>
      </c>
    </row>
    <row r="3111" spans="1:3" x14ac:dyDescent="0.25">
      <c r="A3111" t="s">
        <v>129</v>
      </c>
      <c r="B3111">
        <v>0.39900000000000002</v>
      </c>
      <c r="C3111" s="1">
        <v>6350</v>
      </c>
    </row>
    <row r="3112" spans="1:3" x14ac:dyDescent="0.25">
      <c r="A3112" t="s">
        <v>130</v>
      </c>
      <c r="B3112">
        <v>0.52500000000000002</v>
      </c>
      <c r="C3112" s="1">
        <v>6350</v>
      </c>
    </row>
    <row r="3113" spans="1:3" x14ac:dyDescent="0.25">
      <c r="A3113" t="s">
        <v>84</v>
      </c>
      <c r="B3113">
        <v>0.628</v>
      </c>
      <c r="C3113" s="1">
        <v>6350</v>
      </c>
    </row>
    <row r="3114" spans="1:3" x14ac:dyDescent="0.25">
      <c r="A3114" t="s">
        <v>131</v>
      </c>
      <c r="B3114">
        <v>0.70499999999999996</v>
      </c>
      <c r="C3114" s="1">
        <v>6350</v>
      </c>
    </row>
    <row r="3115" spans="1:3" x14ac:dyDescent="0.25">
      <c r="A3115" t="s">
        <v>133</v>
      </c>
      <c r="B3115">
        <v>0.76200000000000001</v>
      </c>
      <c r="C3115" s="1">
        <v>6350</v>
      </c>
    </row>
    <row r="3116" spans="1:3" x14ac:dyDescent="0.25">
      <c r="A3116" t="e" vm="84">
        <f>_FV(0,"122")</f>
        <v>#VALUE!</v>
      </c>
      <c r="B3116" s="1">
        <v>1782</v>
      </c>
      <c r="C3116" s="1">
        <v>6350</v>
      </c>
    </row>
    <row r="3117" spans="1:3" x14ac:dyDescent="0.25">
      <c r="A3117" t="e" vm="85">
        <f>_FV(0,"237")</f>
        <v>#VALUE!</v>
      </c>
      <c r="B3117" s="1">
        <v>1775</v>
      </c>
      <c r="C3117" s="1">
        <v>6350</v>
      </c>
    </row>
    <row r="3118" spans="1:3" x14ac:dyDescent="0.25">
      <c r="A3118" t="e" vm="86">
        <f>_FV(0,"599")</f>
        <v>#VALUE!</v>
      </c>
      <c r="B3118" s="1">
        <v>1686</v>
      </c>
      <c r="C3118" s="1">
        <v>6350</v>
      </c>
    </row>
    <row r="3119" spans="1:3" x14ac:dyDescent="0.25">
      <c r="A3119" t="e" vm="87">
        <f>_FV(0,"93")</f>
        <v>#VALUE!</v>
      </c>
      <c r="B3119" s="1">
        <v>1529</v>
      </c>
      <c r="C3119" s="1">
        <v>6350</v>
      </c>
    </row>
    <row r="3120" spans="1:3" x14ac:dyDescent="0.25">
      <c r="A3120" s="1">
        <v>-1221</v>
      </c>
      <c r="B3120" s="1">
        <v>1308</v>
      </c>
      <c r="C3120" s="1">
        <v>6350</v>
      </c>
    </row>
    <row r="3121" spans="1:3" x14ac:dyDescent="0.25">
      <c r="A3121" s="1">
        <v>-1462</v>
      </c>
      <c r="B3121" s="1">
        <v>1032</v>
      </c>
      <c r="C3121" s="1">
        <v>6350</v>
      </c>
    </row>
    <row r="3122" spans="1:3" x14ac:dyDescent="0.25">
      <c r="A3122" s="1">
        <v>-1641</v>
      </c>
      <c r="B3122">
        <v>0.71299999999999997</v>
      </c>
      <c r="C3122" s="1">
        <v>6350</v>
      </c>
    </row>
    <row r="3123" spans="1:3" x14ac:dyDescent="0.25">
      <c r="A3123" s="1">
        <v>-1752</v>
      </c>
      <c r="B3123">
        <v>0.36399999999999999</v>
      </c>
      <c r="C3123" s="1">
        <v>6350</v>
      </c>
    </row>
    <row r="3124" spans="1:3" x14ac:dyDescent="0.25">
      <c r="A3124" s="1">
        <v>-1790</v>
      </c>
      <c r="B3124">
        <f>0</f>
        <v>0</v>
      </c>
      <c r="C3124" s="1">
        <v>6350</v>
      </c>
    </row>
    <row r="3125" spans="1:3" x14ac:dyDescent="0.25">
      <c r="A3125" s="1">
        <v>-1752</v>
      </c>
      <c r="B3125">
        <f>0.364</f>
        <v>0.36399999999999999</v>
      </c>
      <c r="C3125" s="1">
        <v>6350</v>
      </c>
    </row>
    <row r="3126" spans="1:3" x14ac:dyDescent="0.25">
      <c r="A3126" s="1">
        <v>-1641</v>
      </c>
      <c r="B3126">
        <f>0.713</f>
        <v>0.71299999999999997</v>
      </c>
      <c r="C3126" s="1">
        <v>6350</v>
      </c>
    </row>
    <row r="3127" spans="1:3" x14ac:dyDescent="0.25">
      <c r="A3127" s="1">
        <v>-1462</v>
      </c>
      <c r="B3127" s="1">
        <v>-1032</v>
      </c>
      <c r="C3127" s="1">
        <v>6350</v>
      </c>
    </row>
    <row r="3128" spans="1:3" x14ac:dyDescent="0.25">
      <c r="A3128" s="1">
        <v>-1221</v>
      </c>
      <c r="B3128" s="1">
        <v>-1308</v>
      </c>
      <c r="C3128" s="1">
        <v>6350</v>
      </c>
    </row>
    <row r="3129" spans="1:3" x14ac:dyDescent="0.25">
      <c r="A3129" t="e" vm="87">
        <f>_FV(0,"93")</f>
        <v>#VALUE!</v>
      </c>
      <c r="B3129" s="1">
        <v>-1529</v>
      </c>
      <c r="C3129" s="1">
        <v>6350</v>
      </c>
    </row>
    <row r="3130" spans="1:3" x14ac:dyDescent="0.25">
      <c r="A3130" t="e" vm="86">
        <f>_FV(0,"599")</f>
        <v>#VALUE!</v>
      </c>
      <c r="B3130" s="1">
        <v>-1686</v>
      </c>
      <c r="C3130" s="1">
        <v>6350</v>
      </c>
    </row>
    <row r="3131" spans="1:3" x14ac:dyDescent="0.25">
      <c r="A3131" t="e" vm="88">
        <f>_FV(0,"24")</f>
        <v>#VALUE!</v>
      </c>
      <c r="B3131" s="1">
        <v>-1774</v>
      </c>
      <c r="C3131" s="1">
        <v>6350</v>
      </c>
    </row>
    <row r="3132" spans="1:3" x14ac:dyDescent="0.25">
      <c r="A3132" t="s">
        <v>136</v>
      </c>
      <c r="B3132" s="1">
        <v>-1789</v>
      </c>
      <c r="C3132" s="1">
        <v>6350</v>
      </c>
    </row>
    <row r="3133" spans="1:3" x14ac:dyDescent="0.25">
      <c r="A3133" t="s">
        <v>119</v>
      </c>
      <c r="B3133" s="1">
        <v>-1753</v>
      </c>
      <c r="C3133" s="1">
        <v>6350</v>
      </c>
    </row>
    <row r="3134" spans="1:3" x14ac:dyDescent="0.25">
      <c r="A3134" t="s">
        <v>134</v>
      </c>
      <c r="B3134" s="1">
        <v>-1641</v>
      </c>
      <c r="C3134" s="1">
        <v>6350</v>
      </c>
    </row>
    <row r="3135" spans="1:3" x14ac:dyDescent="0.25">
      <c r="A3135" s="1">
        <v>1032</v>
      </c>
      <c r="B3135" s="1">
        <v>-1462</v>
      </c>
      <c r="C3135" s="1">
        <v>6350</v>
      </c>
    </row>
    <row r="3136" spans="1:3" x14ac:dyDescent="0.25">
      <c r="A3136" s="1">
        <v>1313</v>
      </c>
      <c r="B3136" s="1">
        <v>-1217</v>
      </c>
      <c r="C3136" s="1">
        <v>6350</v>
      </c>
    </row>
    <row r="3137" spans="1:3" x14ac:dyDescent="0.25">
      <c r="A3137" s="1">
        <v>1459</v>
      </c>
      <c r="B3137" s="1">
        <v>-1038</v>
      </c>
      <c r="C3137" s="1">
        <v>6350</v>
      </c>
    </row>
    <row r="3138" spans="1:3" x14ac:dyDescent="0.25">
      <c r="A3138" s="1">
        <v>1641</v>
      </c>
      <c r="B3138">
        <f>0.713</f>
        <v>0.71299999999999997</v>
      </c>
      <c r="C3138" s="1">
        <v>6350</v>
      </c>
    </row>
    <row r="3139" spans="1:3" x14ac:dyDescent="0.25">
      <c r="A3139" s="1">
        <v>1752</v>
      </c>
      <c r="B3139">
        <f>0.364</f>
        <v>0.36399999999999999</v>
      </c>
      <c r="C3139" s="1">
        <v>6350</v>
      </c>
    </row>
    <row r="3140" spans="1:3" x14ac:dyDescent="0.25">
      <c r="A3140" s="1">
        <v>1790</v>
      </c>
      <c r="B3140">
        <v>7.0000000000000001E-3</v>
      </c>
      <c r="C3140" s="1">
        <v>6350</v>
      </c>
    </row>
    <row r="3141" spans="1:3" x14ac:dyDescent="0.25">
      <c r="A3141" s="1">
        <v>1775</v>
      </c>
      <c r="B3141">
        <v>0.23699999999999999</v>
      </c>
      <c r="C3141" s="1">
        <v>6350</v>
      </c>
    </row>
    <row r="3142" spans="1:3" x14ac:dyDescent="0.25">
      <c r="A3142" s="1">
        <v>1686</v>
      </c>
      <c r="B3142">
        <v>0.59899999999999998</v>
      </c>
      <c r="C3142" s="1">
        <v>6350</v>
      </c>
    </row>
    <row r="3143" spans="1:3" x14ac:dyDescent="0.25">
      <c r="A3143" s="1">
        <v>1529</v>
      </c>
      <c r="B3143">
        <v>0.93</v>
      </c>
      <c r="C3143" s="1">
        <v>6350</v>
      </c>
    </row>
    <row r="3144" spans="1:3" x14ac:dyDescent="0.25">
      <c r="A3144" s="1">
        <v>1308</v>
      </c>
      <c r="B3144" s="1">
        <v>1221</v>
      </c>
      <c r="C3144" s="1">
        <v>6350</v>
      </c>
    </row>
    <row r="3145" spans="1:3" x14ac:dyDescent="0.25">
      <c r="A3145" s="1">
        <v>1032</v>
      </c>
      <c r="B3145" s="1">
        <v>1462</v>
      </c>
      <c r="C3145" s="1">
        <v>6350</v>
      </c>
    </row>
    <row r="3146" spans="1:3" x14ac:dyDescent="0.25">
      <c r="A3146" t="s">
        <v>134</v>
      </c>
      <c r="B3146" s="1">
        <v>1641</v>
      </c>
      <c r="C3146" s="1">
        <v>6350</v>
      </c>
    </row>
    <row r="3147" spans="1:3" x14ac:dyDescent="0.25">
      <c r="A3147" t="s">
        <v>135</v>
      </c>
      <c r="B3147" s="1">
        <v>1752</v>
      </c>
      <c r="C3147" s="1">
        <v>6350</v>
      </c>
    </row>
    <row r="3148" spans="1:3" x14ac:dyDescent="0.25">
      <c r="A3148" t="e" vm="89">
        <f>_FV(0,"002")</f>
        <v>#VALUE!</v>
      </c>
      <c r="B3148" s="1">
        <v>1790</v>
      </c>
      <c r="C3148" s="1">
        <v>6350</v>
      </c>
    </row>
    <row r="3149" spans="1:3" x14ac:dyDescent="0.25">
      <c r="A3149" t="e" vm="37">
        <f>_FV(0,"181")</f>
        <v>#VALUE!</v>
      </c>
      <c r="B3149" s="1">
        <v>1683</v>
      </c>
      <c r="C3149" s="1">
        <v>6350</v>
      </c>
    </row>
    <row r="3150" spans="1:3" x14ac:dyDescent="0.25">
      <c r="A3150" t="e" vm="37">
        <f>_FV(0,"181")</f>
        <v>#VALUE!</v>
      </c>
      <c r="B3150" s="1">
        <v>1683</v>
      </c>
      <c r="C3150" s="1">
        <v>6650</v>
      </c>
    </row>
    <row r="3151" spans="1:3" x14ac:dyDescent="0.25">
      <c r="A3151" t="e" vm="90">
        <f>_FV(0,"129")</f>
        <v>#VALUE!</v>
      </c>
      <c r="B3151">
        <v>0.56200000000000006</v>
      </c>
      <c r="C3151" s="1">
        <v>6650</v>
      </c>
    </row>
    <row r="3152" spans="1:3" x14ac:dyDescent="0.25">
      <c r="A3152" t="e" vm="91">
        <f>_FV(0,"293")</f>
        <v>#VALUE!</v>
      </c>
      <c r="B3152">
        <v>0.496</v>
      </c>
      <c r="C3152" s="1">
        <v>6650</v>
      </c>
    </row>
    <row r="3153" spans="1:3" x14ac:dyDescent="0.25">
      <c r="A3153" t="e" vm="92">
        <f>_FV(0,"47")</f>
        <v>#VALUE!</v>
      </c>
      <c r="B3153">
        <v>0.33200000000000002</v>
      </c>
      <c r="C3153" s="1">
        <v>6650</v>
      </c>
    </row>
    <row r="3154" spans="1:3" x14ac:dyDescent="0.25">
      <c r="A3154" t="e" vm="93">
        <f>_FV(0,"563")</f>
        <v>#VALUE!</v>
      </c>
      <c r="B3154">
        <v>0.11700000000000001</v>
      </c>
      <c r="C3154" s="1">
        <v>6650</v>
      </c>
    </row>
    <row r="3155" spans="1:3" x14ac:dyDescent="0.25">
      <c r="A3155" t="e" vm="93">
        <f>_FV(0,"563")</f>
        <v>#VALUE!</v>
      </c>
      <c r="B3155">
        <f>0.117</f>
        <v>0.11700000000000001</v>
      </c>
      <c r="C3155" s="1">
        <v>6650</v>
      </c>
    </row>
    <row r="3156" spans="1:3" x14ac:dyDescent="0.25">
      <c r="A3156" t="e" vm="94">
        <f>_FV(0,"528")</f>
        <v>#VALUE!</v>
      </c>
      <c r="B3156">
        <f>0.229</f>
        <v>0.22900000000000001</v>
      </c>
      <c r="C3156" s="1">
        <v>6650</v>
      </c>
    </row>
    <row r="3157" spans="1:3" x14ac:dyDescent="0.25">
      <c r="A3157" t="e" vm="95">
        <f>_FV(0,"393")</f>
        <v>#VALUE!</v>
      </c>
      <c r="B3157">
        <f>0.42</f>
        <v>0.42</v>
      </c>
      <c r="C3157" s="1">
        <v>6650</v>
      </c>
    </row>
    <row r="3158" spans="1:3" x14ac:dyDescent="0.25">
      <c r="A3158" t="e" vm="96">
        <f>_FV(0,"193")</f>
        <v>#VALUE!</v>
      </c>
      <c r="B3158">
        <f>0.542</f>
        <v>0.54200000000000004</v>
      </c>
      <c r="C3158" s="1">
        <v>6650</v>
      </c>
    </row>
    <row r="3159" spans="1:3" x14ac:dyDescent="0.25">
      <c r="A3159" t="s">
        <v>138</v>
      </c>
      <c r="B3159">
        <f>0.577</f>
        <v>0.57699999999999996</v>
      </c>
      <c r="C3159" s="1">
        <v>6650</v>
      </c>
    </row>
    <row r="3160" spans="1:3" x14ac:dyDescent="0.25">
      <c r="A3160" t="s">
        <v>64</v>
      </c>
      <c r="B3160">
        <f>0.528</f>
        <v>0.52800000000000002</v>
      </c>
      <c r="C3160" s="1">
        <v>6650</v>
      </c>
    </row>
    <row r="3161" spans="1:3" x14ac:dyDescent="0.25">
      <c r="A3161" t="s">
        <v>170</v>
      </c>
      <c r="B3161">
        <f>0.393</f>
        <v>0.39300000000000002</v>
      </c>
      <c r="C3161" s="1">
        <v>6650</v>
      </c>
    </row>
    <row r="3162" spans="1:3" x14ac:dyDescent="0.25">
      <c r="A3162" t="s">
        <v>59</v>
      </c>
      <c r="B3162">
        <f>0.299</f>
        <v>0.29899999999999999</v>
      </c>
      <c r="C3162" s="1">
        <v>6650</v>
      </c>
    </row>
    <row r="3163" spans="1:3" x14ac:dyDescent="0.25">
      <c r="A3163" t="s">
        <v>139</v>
      </c>
      <c r="B3163">
        <f>0.157</f>
        <v>0.157</v>
      </c>
      <c r="C3163" s="1">
        <v>6650</v>
      </c>
    </row>
    <row r="3164" spans="1:3" x14ac:dyDescent="0.25">
      <c r="A3164" t="s">
        <v>140</v>
      </c>
      <c r="B3164">
        <f>0</f>
        <v>0</v>
      </c>
      <c r="C3164" s="1">
        <v>6650</v>
      </c>
    </row>
    <row r="3165" spans="1:3" x14ac:dyDescent="0.25">
      <c r="A3165" t="s">
        <v>141</v>
      </c>
      <c r="B3165">
        <v>0.20499999999999999</v>
      </c>
      <c r="C3165" s="1">
        <v>6650</v>
      </c>
    </row>
    <row r="3166" spans="1:3" x14ac:dyDescent="0.25">
      <c r="A3166" t="s">
        <v>170</v>
      </c>
      <c r="B3166">
        <v>0.39300000000000002</v>
      </c>
      <c r="C3166" s="1">
        <v>6650</v>
      </c>
    </row>
    <row r="3167" spans="1:3" x14ac:dyDescent="0.25">
      <c r="A3167" t="s">
        <v>64</v>
      </c>
      <c r="B3167">
        <v>0.52800000000000002</v>
      </c>
      <c r="C3167" s="1">
        <v>6650</v>
      </c>
    </row>
    <row r="3168" spans="1:3" x14ac:dyDescent="0.25">
      <c r="A3168" t="s">
        <v>137</v>
      </c>
      <c r="B3168">
        <v>0.56299999999999994</v>
      </c>
      <c r="C3168" s="1">
        <v>6650</v>
      </c>
    </row>
    <row r="3169" spans="1:3" x14ac:dyDescent="0.25">
      <c r="A3169" t="e" vm="97">
        <f>_FV(0,"009")</f>
        <v>#VALUE!</v>
      </c>
      <c r="B3169">
        <v>0.57399999999999995</v>
      </c>
      <c r="C3169" s="1">
        <v>6650</v>
      </c>
    </row>
    <row r="3170" spans="1:3" x14ac:dyDescent="0.25">
      <c r="A3170" t="e" vm="98">
        <f>_FV(0,"42")</f>
        <v>#VALUE!</v>
      </c>
      <c r="B3170" s="1">
        <v>1535</v>
      </c>
      <c r="C3170" s="1">
        <v>6650</v>
      </c>
    </row>
    <row r="3171" spans="1:3" x14ac:dyDescent="0.25">
      <c r="A3171" t="e" vm="99">
        <f>_FV(0,"576")</f>
        <v>#VALUE!</v>
      </c>
      <c r="B3171" s="1">
        <v>1488</v>
      </c>
      <c r="C3171" s="1">
        <v>6650</v>
      </c>
    </row>
    <row r="3172" spans="1:3" x14ac:dyDescent="0.25">
      <c r="A3172" t="e" vm="100">
        <f>_FV(0,"828")</f>
        <v>#VALUE!</v>
      </c>
      <c r="B3172" s="1">
        <v>1365</v>
      </c>
      <c r="C3172" s="1">
        <v>6650</v>
      </c>
    </row>
    <row r="3173" spans="1:3" x14ac:dyDescent="0.25">
      <c r="A3173" s="1">
        <v>-1089</v>
      </c>
      <c r="B3173" s="1">
        <v>1166</v>
      </c>
      <c r="C3173" s="1">
        <v>6650</v>
      </c>
    </row>
    <row r="3174" spans="1:3" x14ac:dyDescent="0.25">
      <c r="A3174" s="1">
        <v>-1304</v>
      </c>
      <c r="B3174">
        <v>0.92</v>
      </c>
      <c r="C3174" s="1">
        <v>6650</v>
      </c>
    </row>
    <row r="3175" spans="1:3" x14ac:dyDescent="0.25">
      <c r="A3175" s="1">
        <v>-1464</v>
      </c>
      <c r="B3175">
        <v>0.63600000000000001</v>
      </c>
      <c r="C3175" s="1">
        <v>6650</v>
      </c>
    </row>
    <row r="3176" spans="1:3" x14ac:dyDescent="0.25">
      <c r="A3176" s="1">
        <v>-1563</v>
      </c>
      <c r="B3176">
        <v>0.32500000000000001</v>
      </c>
      <c r="C3176" s="1">
        <v>6650</v>
      </c>
    </row>
    <row r="3177" spans="1:3" x14ac:dyDescent="0.25">
      <c r="A3177" s="1">
        <v>-1596</v>
      </c>
      <c r="B3177">
        <f>0</f>
        <v>0</v>
      </c>
      <c r="C3177" s="1">
        <v>6650</v>
      </c>
    </row>
    <row r="3178" spans="1:3" x14ac:dyDescent="0.25">
      <c r="A3178" s="1">
        <v>-1563</v>
      </c>
      <c r="B3178">
        <f>0.325</f>
        <v>0.32500000000000001</v>
      </c>
      <c r="C3178" s="1">
        <v>6650</v>
      </c>
    </row>
    <row r="3179" spans="1:3" x14ac:dyDescent="0.25">
      <c r="A3179" s="1">
        <v>-1464</v>
      </c>
      <c r="B3179">
        <f>0.636</f>
        <v>0.63600000000000001</v>
      </c>
      <c r="C3179" s="1">
        <v>6650</v>
      </c>
    </row>
    <row r="3180" spans="1:3" x14ac:dyDescent="0.25">
      <c r="A3180" s="1">
        <v>-1304</v>
      </c>
      <c r="B3180">
        <f>0.92</f>
        <v>0.92</v>
      </c>
      <c r="C3180" s="1">
        <v>6650</v>
      </c>
    </row>
    <row r="3181" spans="1:3" x14ac:dyDescent="0.25">
      <c r="A3181" s="1">
        <v>-1089</v>
      </c>
      <c r="B3181" s="1">
        <v>-1166</v>
      </c>
      <c r="C3181" s="1">
        <v>6650</v>
      </c>
    </row>
    <row r="3182" spans="1:3" x14ac:dyDescent="0.25">
      <c r="A3182" t="e" vm="101">
        <f>_FV(0,"829")</f>
        <v>#VALUE!</v>
      </c>
      <c r="B3182" s="1">
        <v>-1364</v>
      </c>
      <c r="C3182" s="1">
        <v>6650</v>
      </c>
    </row>
    <row r="3183" spans="1:3" x14ac:dyDescent="0.25">
      <c r="A3183" t="e" vm="35">
        <f>_FV(0,"535")</f>
        <v>#VALUE!</v>
      </c>
      <c r="B3183" s="1">
        <v>-1504</v>
      </c>
      <c r="C3183" s="1">
        <v>6650</v>
      </c>
    </row>
    <row r="3184" spans="1:3" x14ac:dyDescent="0.25">
      <c r="A3184" t="e" vm="102">
        <f>_FV(0,"214")</f>
        <v>#VALUE!</v>
      </c>
      <c r="B3184" s="1">
        <v>-1582</v>
      </c>
      <c r="C3184" s="1">
        <v>6650</v>
      </c>
    </row>
    <row r="3185" spans="1:3" x14ac:dyDescent="0.25">
      <c r="A3185" t="s">
        <v>144</v>
      </c>
      <c r="B3185" s="1">
        <v>-1595</v>
      </c>
      <c r="C3185" s="1">
        <v>6650</v>
      </c>
    </row>
    <row r="3186" spans="1:3" x14ac:dyDescent="0.25">
      <c r="A3186" t="s">
        <v>145</v>
      </c>
      <c r="B3186" s="1">
        <v>-1563</v>
      </c>
      <c r="C3186" s="1">
        <v>6650</v>
      </c>
    </row>
    <row r="3187" spans="1:3" x14ac:dyDescent="0.25">
      <c r="A3187" t="s">
        <v>142</v>
      </c>
      <c r="B3187" s="1">
        <v>-1464</v>
      </c>
      <c r="C3187" s="1">
        <v>6650</v>
      </c>
    </row>
    <row r="3188" spans="1:3" x14ac:dyDescent="0.25">
      <c r="A3188" t="s">
        <v>171</v>
      </c>
      <c r="B3188" s="1">
        <v>-1304</v>
      </c>
      <c r="C3188" s="1">
        <v>6650</v>
      </c>
    </row>
    <row r="3189" spans="1:3" x14ac:dyDescent="0.25">
      <c r="A3189" s="1">
        <v>1166</v>
      </c>
      <c r="B3189" s="1">
        <v>-1089</v>
      </c>
      <c r="C3189" s="1">
        <v>6650</v>
      </c>
    </row>
    <row r="3190" spans="1:3" x14ac:dyDescent="0.25">
      <c r="A3190" s="1">
        <v>1364</v>
      </c>
      <c r="B3190">
        <f>0.829</f>
        <v>0.82899999999999996</v>
      </c>
      <c r="C3190" s="1">
        <v>6650</v>
      </c>
    </row>
    <row r="3191" spans="1:3" x14ac:dyDescent="0.25">
      <c r="A3191" s="1">
        <v>1507</v>
      </c>
      <c r="B3191">
        <f>0.528</f>
        <v>0.52800000000000002</v>
      </c>
      <c r="C3191" s="1">
        <v>6650</v>
      </c>
    </row>
    <row r="3192" spans="1:3" x14ac:dyDescent="0.25">
      <c r="A3192" s="1">
        <v>1562</v>
      </c>
      <c r="B3192">
        <f>0.332</f>
        <v>0.33200000000000002</v>
      </c>
      <c r="C3192" s="1">
        <v>6650</v>
      </c>
    </row>
    <row r="3193" spans="1:3" x14ac:dyDescent="0.25">
      <c r="A3193" s="1">
        <v>1596</v>
      </c>
      <c r="B3193">
        <f>0</f>
        <v>0</v>
      </c>
      <c r="C3193" s="1">
        <v>6650</v>
      </c>
    </row>
    <row r="3194" spans="1:3" x14ac:dyDescent="0.25">
      <c r="A3194" s="1">
        <v>1562</v>
      </c>
      <c r="B3194">
        <v>0.32800000000000001</v>
      </c>
      <c r="C3194" s="1">
        <v>6650</v>
      </c>
    </row>
    <row r="3195" spans="1:3" x14ac:dyDescent="0.25">
      <c r="A3195" s="1">
        <v>1488</v>
      </c>
      <c r="B3195">
        <v>0.57599999999999996</v>
      </c>
      <c r="C3195" s="1">
        <v>6650</v>
      </c>
    </row>
    <row r="3196" spans="1:3" x14ac:dyDescent="0.25">
      <c r="A3196" s="1">
        <v>1365</v>
      </c>
      <c r="B3196">
        <v>0.82799999999999996</v>
      </c>
      <c r="C3196" s="1">
        <v>6650</v>
      </c>
    </row>
    <row r="3197" spans="1:3" x14ac:dyDescent="0.25">
      <c r="A3197" s="1">
        <v>1166</v>
      </c>
      <c r="B3197" s="1">
        <v>1089</v>
      </c>
      <c r="C3197" s="1">
        <v>6650</v>
      </c>
    </row>
    <row r="3198" spans="1:3" x14ac:dyDescent="0.25">
      <c r="A3198" t="s">
        <v>171</v>
      </c>
      <c r="B3198" s="1">
        <v>1304</v>
      </c>
      <c r="C3198" s="1">
        <v>6650</v>
      </c>
    </row>
    <row r="3199" spans="1:3" x14ac:dyDescent="0.25">
      <c r="A3199" t="s">
        <v>142</v>
      </c>
      <c r="B3199" s="1">
        <v>1464</v>
      </c>
      <c r="C3199" s="1">
        <v>6650</v>
      </c>
    </row>
    <row r="3200" spans="1:3" x14ac:dyDescent="0.25">
      <c r="A3200" t="s">
        <v>143</v>
      </c>
      <c r="B3200" s="1">
        <v>1563</v>
      </c>
      <c r="C3200" s="1">
        <v>6650</v>
      </c>
    </row>
    <row r="3201" spans="1:3" x14ac:dyDescent="0.25">
      <c r="A3201">
        <f>0</f>
        <v>0</v>
      </c>
      <c r="B3201" s="1">
        <v>1596</v>
      </c>
      <c r="C3201" s="1">
        <v>6650</v>
      </c>
    </row>
    <row r="3202" spans="1:3" x14ac:dyDescent="0.25">
      <c r="A3202" t="e" vm="67">
        <f>_FV(0,"304")</f>
        <v>#VALUE!</v>
      </c>
      <c r="B3202" s="1">
        <v>1565</v>
      </c>
      <c r="C3202" s="1">
        <v>6650</v>
      </c>
    </row>
    <row r="3203" spans="1:3" x14ac:dyDescent="0.25">
      <c r="A3203" t="e" vm="103">
        <f>_FV(0,"471")</f>
        <v>#VALUE!</v>
      </c>
      <c r="B3203" s="1">
        <v>1380</v>
      </c>
      <c r="C3203" s="1">
        <v>6650</v>
      </c>
    </row>
    <row r="3204" spans="1:3" x14ac:dyDescent="0.25">
      <c r="A3204" t="e" vm="103">
        <f>_FV(0,"471")</f>
        <v>#VALUE!</v>
      </c>
      <c r="B3204" s="1">
        <v>1380</v>
      </c>
      <c r="C3204" s="1">
        <v>6950</v>
      </c>
    </row>
    <row r="3205" spans="1:3" x14ac:dyDescent="0.25">
      <c r="A3205" t="e" vm="104">
        <f>_FV(0,"359")</f>
        <v>#VALUE!</v>
      </c>
      <c r="B3205" s="1">
        <v>1282</v>
      </c>
      <c r="C3205" s="1">
        <v>6950</v>
      </c>
    </row>
    <row r="3206" spans="1:3" x14ac:dyDescent="0.25">
      <c r="A3206" t="e" vm="105">
        <f>_FV(0,"613")</f>
        <v>#VALUE!</v>
      </c>
      <c r="B3206" s="1">
        <v>1182</v>
      </c>
      <c r="C3206" s="1">
        <v>6950</v>
      </c>
    </row>
    <row r="3207" spans="1:3" x14ac:dyDescent="0.25">
      <c r="A3207" t="e" vm="106">
        <f>_FV(0,"841")</f>
        <v>#VALUE!</v>
      </c>
      <c r="B3207" s="1">
        <v>1032</v>
      </c>
      <c r="C3207" s="1">
        <v>6950</v>
      </c>
    </row>
    <row r="3208" spans="1:3" x14ac:dyDescent="0.25">
      <c r="A3208" s="1">
        <v>-1021</v>
      </c>
      <c r="B3208">
        <v>0.85399999999999998</v>
      </c>
      <c r="C3208" s="1">
        <v>6950</v>
      </c>
    </row>
    <row r="3209" spans="1:3" x14ac:dyDescent="0.25">
      <c r="A3209" s="1">
        <v>-1136</v>
      </c>
      <c r="B3209">
        <v>0.69599999999999995</v>
      </c>
      <c r="C3209" s="1">
        <v>6950</v>
      </c>
    </row>
    <row r="3210" spans="1:3" x14ac:dyDescent="0.25">
      <c r="A3210" s="1">
        <v>-1254</v>
      </c>
      <c r="B3210">
        <v>0.44600000000000001</v>
      </c>
      <c r="C3210" s="1">
        <v>6950</v>
      </c>
    </row>
    <row r="3211" spans="1:3" x14ac:dyDescent="0.25">
      <c r="A3211" s="1">
        <v>-1319</v>
      </c>
      <c r="B3211">
        <v>0.18099999999999999</v>
      </c>
      <c r="C3211" s="1">
        <v>6950</v>
      </c>
    </row>
    <row r="3212" spans="1:3" x14ac:dyDescent="0.25">
      <c r="A3212" s="1">
        <v>-1328</v>
      </c>
      <c r="B3212">
        <f>0.092</f>
        <v>9.1999999999999998E-2</v>
      </c>
      <c r="C3212" s="1">
        <v>6950</v>
      </c>
    </row>
    <row r="3213" spans="1:3" x14ac:dyDescent="0.25">
      <c r="A3213" s="1">
        <v>-1287</v>
      </c>
      <c r="B3213">
        <f>0.342</f>
        <v>0.34200000000000003</v>
      </c>
      <c r="C3213" s="1">
        <v>6950</v>
      </c>
    </row>
    <row r="3214" spans="1:3" x14ac:dyDescent="0.25">
      <c r="A3214" s="1">
        <v>-1223</v>
      </c>
      <c r="B3214">
        <f>0.526</f>
        <v>0.52600000000000002</v>
      </c>
      <c r="C3214" s="1">
        <v>6950</v>
      </c>
    </row>
    <row r="3215" spans="1:3" x14ac:dyDescent="0.25">
      <c r="A3215" s="1">
        <v>-1088</v>
      </c>
      <c r="B3215">
        <f>0.768</f>
        <v>0.76800000000000002</v>
      </c>
      <c r="C3215" s="1">
        <v>6950</v>
      </c>
    </row>
    <row r="3216" spans="1:3" x14ac:dyDescent="0.25">
      <c r="A3216" t="e" vm="107">
        <f>_FV(0,"909")</f>
        <v>#VALUE!</v>
      </c>
      <c r="B3216">
        <f>0.973</f>
        <v>0.97299999999999998</v>
      </c>
      <c r="C3216" s="1">
        <v>6950</v>
      </c>
    </row>
    <row r="3217" spans="1:3" x14ac:dyDescent="0.25">
      <c r="A3217" t="e" vm="108">
        <f>_FV(0,"692")</f>
        <v>#VALUE!</v>
      </c>
      <c r="B3217" s="1">
        <v>-1138</v>
      </c>
      <c r="C3217" s="1">
        <v>6950</v>
      </c>
    </row>
    <row r="3218" spans="1:3" x14ac:dyDescent="0.25">
      <c r="A3218" t="e" vm="109">
        <f>_FV(0,"446")</f>
        <v>#VALUE!</v>
      </c>
      <c r="B3218" s="1">
        <v>-1254</v>
      </c>
      <c r="C3218" s="1">
        <v>6950</v>
      </c>
    </row>
    <row r="3219" spans="1:3" x14ac:dyDescent="0.25">
      <c r="A3219" t="e" vm="110">
        <f>_FV(0,"18")</f>
        <v>#VALUE!</v>
      </c>
      <c r="B3219" s="1">
        <v>-1319</v>
      </c>
      <c r="C3219" s="1">
        <v>6950</v>
      </c>
    </row>
    <row r="3220" spans="1:3" x14ac:dyDescent="0.25">
      <c r="A3220" t="s">
        <v>149</v>
      </c>
      <c r="B3220" s="1">
        <v>-1329</v>
      </c>
      <c r="C3220" s="1">
        <v>6950</v>
      </c>
    </row>
    <row r="3221" spans="1:3" x14ac:dyDescent="0.25">
      <c r="A3221" t="s">
        <v>80</v>
      </c>
      <c r="B3221" s="1">
        <v>-1305</v>
      </c>
      <c r="C3221" s="1">
        <v>6950</v>
      </c>
    </row>
    <row r="3222" spans="1:3" x14ac:dyDescent="0.25">
      <c r="A3222" t="s">
        <v>172</v>
      </c>
      <c r="B3222" s="1">
        <v>-1221</v>
      </c>
      <c r="C3222" s="1">
        <v>6950</v>
      </c>
    </row>
    <row r="3223" spans="1:3" x14ac:dyDescent="0.25">
      <c r="A3223" t="s">
        <v>125</v>
      </c>
      <c r="B3223" s="1">
        <v>-1088</v>
      </c>
      <c r="C3223" s="1">
        <v>6950</v>
      </c>
    </row>
    <row r="3224" spans="1:3" x14ac:dyDescent="0.25">
      <c r="A3224" t="s">
        <v>32</v>
      </c>
      <c r="B3224">
        <f>0.909</f>
        <v>0.90900000000000003</v>
      </c>
      <c r="C3224" s="1">
        <v>6950</v>
      </c>
    </row>
    <row r="3225" spans="1:3" x14ac:dyDescent="0.25">
      <c r="A3225" s="1">
        <v>1138</v>
      </c>
      <c r="B3225">
        <f>0.692</f>
        <v>0.69199999999999995</v>
      </c>
      <c r="C3225" s="1">
        <v>6950</v>
      </c>
    </row>
    <row r="3226" spans="1:3" x14ac:dyDescent="0.25">
      <c r="A3226" s="1">
        <v>1254</v>
      </c>
      <c r="B3226">
        <f>0.446</f>
        <v>0.44600000000000001</v>
      </c>
      <c r="C3226" s="1">
        <v>6950</v>
      </c>
    </row>
    <row r="3227" spans="1:3" x14ac:dyDescent="0.25">
      <c r="A3227" s="1">
        <v>1319</v>
      </c>
      <c r="B3227">
        <f>0.181</f>
        <v>0.18099999999999999</v>
      </c>
      <c r="C3227" s="1">
        <v>6950</v>
      </c>
    </row>
    <row r="3228" spans="1:3" x14ac:dyDescent="0.25">
      <c r="A3228" s="1">
        <v>1328</v>
      </c>
      <c r="B3228">
        <v>9.0999999999999998E-2</v>
      </c>
      <c r="C3228" s="1">
        <v>6950</v>
      </c>
    </row>
    <row r="3229" spans="1:3" x14ac:dyDescent="0.25">
      <c r="A3229" s="1">
        <v>1282</v>
      </c>
      <c r="B3229">
        <v>0.35899999999999999</v>
      </c>
      <c r="C3229" s="1">
        <v>6950</v>
      </c>
    </row>
    <row r="3230" spans="1:3" x14ac:dyDescent="0.25">
      <c r="A3230" s="1">
        <v>1182</v>
      </c>
      <c r="B3230">
        <v>0.61299999999999999</v>
      </c>
      <c r="C3230" s="1">
        <v>6950</v>
      </c>
    </row>
    <row r="3231" spans="1:3" x14ac:dyDescent="0.25">
      <c r="A3231" s="1">
        <v>1032</v>
      </c>
      <c r="B3231">
        <v>0.84099999999999997</v>
      </c>
      <c r="C3231" s="1">
        <v>6950</v>
      </c>
    </row>
    <row r="3232" spans="1:3" x14ac:dyDescent="0.25">
      <c r="A3232" t="s">
        <v>146</v>
      </c>
      <c r="B3232" s="1">
        <v>1021</v>
      </c>
      <c r="C3232" s="1">
        <v>6950</v>
      </c>
    </row>
    <row r="3233" spans="1:3" x14ac:dyDescent="0.25">
      <c r="A3233" t="s">
        <v>98</v>
      </c>
      <c r="B3233" s="1">
        <v>1136</v>
      </c>
      <c r="C3233" s="1">
        <v>6950</v>
      </c>
    </row>
    <row r="3234" spans="1:3" x14ac:dyDescent="0.25">
      <c r="A3234" t="s">
        <v>147</v>
      </c>
      <c r="B3234" s="1">
        <v>1254</v>
      </c>
      <c r="C3234" s="1">
        <v>6950</v>
      </c>
    </row>
    <row r="3235" spans="1:3" x14ac:dyDescent="0.25">
      <c r="A3235" t="s">
        <v>148</v>
      </c>
      <c r="B3235" s="1">
        <v>1319</v>
      </c>
      <c r="C3235" s="1">
        <v>6950</v>
      </c>
    </row>
    <row r="3236" spans="1:3" x14ac:dyDescent="0.25">
      <c r="A3236" t="e" vm="83">
        <f>_FV(0,"091")</f>
        <v>#VALUE!</v>
      </c>
      <c r="B3236" s="1">
        <v>1328</v>
      </c>
      <c r="C3236" s="1">
        <v>6950</v>
      </c>
    </row>
    <row r="3237" spans="1:3" x14ac:dyDescent="0.25">
      <c r="A3237" t="e" vm="111">
        <f>_FV(0,"241")</f>
        <v>#VALUE!</v>
      </c>
      <c r="B3237" s="1">
        <v>1302</v>
      </c>
      <c r="C3237" s="1">
        <v>6950</v>
      </c>
    </row>
    <row r="3238" spans="1:3" x14ac:dyDescent="0.25">
      <c r="A3238" t="e" vm="112">
        <f>_FV(0,"427")</f>
        <v>#VALUE!</v>
      </c>
      <c r="B3238" s="1">
        <v>1018</v>
      </c>
      <c r="C3238" s="1">
        <v>6950</v>
      </c>
    </row>
    <row r="3239" spans="1:3" x14ac:dyDescent="0.25">
      <c r="A3239" t="e" vm="112">
        <f>_FV(0,"427")</f>
        <v>#VALUE!</v>
      </c>
      <c r="B3239" s="1">
        <v>1018</v>
      </c>
      <c r="C3239" s="1">
        <v>7250</v>
      </c>
    </row>
    <row r="3240" spans="1:3" x14ac:dyDescent="0.25">
      <c r="A3240" t="e" vm="113">
        <f>_FV(0,"232")</f>
        <v>#VALUE!</v>
      </c>
      <c r="B3240">
        <v>0.92300000000000004</v>
      </c>
      <c r="C3240" s="1">
        <v>7250</v>
      </c>
    </row>
    <row r="3241" spans="1:3" x14ac:dyDescent="0.25">
      <c r="A3241" t="e" vm="114">
        <f>_FV(0,"376")</f>
        <v>#VALUE!</v>
      </c>
      <c r="B3241">
        <v>0.875</v>
      </c>
      <c r="C3241" s="1">
        <v>7250</v>
      </c>
    </row>
    <row r="3242" spans="1:3" x14ac:dyDescent="0.25">
      <c r="A3242" t="e" vm="115">
        <f>_FV(0,"549")</f>
        <v>#VALUE!</v>
      </c>
      <c r="B3242">
        <v>0.77800000000000002</v>
      </c>
      <c r="C3242" s="1">
        <v>7250</v>
      </c>
    </row>
    <row r="3243" spans="1:3" x14ac:dyDescent="0.25">
      <c r="A3243" t="e" vm="32">
        <f>_FV(0,"696")</f>
        <v>#VALUE!</v>
      </c>
      <c r="B3243">
        <v>0.65</v>
      </c>
      <c r="C3243" s="1">
        <v>7250</v>
      </c>
    </row>
    <row r="3244" spans="1:3" x14ac:dyDescent="0.25">
      <c r="A3244" t="e" vm="116">
        <f>_FV(0,"813")</f>
        <v>#VALUE!</v>
      </c>
      <c r="B3244">
        <v>0.495</v>
      </c>
      <c r="C3244" s="1">
        <v>7250</v>
      </c>
    </row>
    <row r="3245" spans="1:3" x14ac:dyDescent="0.25">
      <c r="A3245" t="e" vm="117">
        <f>_FV(0,"897")</f>
        <v>#VALUE!</v>
      </c>
      <c r="B3245">
        <v>0.31900000000000001</v>
      </c>
      <c r="C3245" s="1">
        <v>7250</v>
      </c>
    </row>
    <row r="3246" spans="1:3" x14ac:dyDescent="0.25">
      <c r="A3246" t="e" vm="22">
        <f>_FV(0,"943")</f>
        <v>#VALUE!</v>
      </c>
      <c r="B3246">
        <v>0.13</v>
      </c>
      <c r="C3246" s="1">
        <v>7250</v>
      </c>
    </row>
    <row r="3247" spans="1:3" x14ac:dyDescent="0.25">
      <c r="A3247" t="e" vm="118">
        <f>_FV(0,"95")</f>
        <v>#VALUE!</v>
      </c>
      <c r="B3247">
        <f>0.072</f>
        <v>7.1999999999999995E-2</v>
      </c>
      <c r="C3247" s="1">
        <v>7250</v>
      </c>
    </row>
    <row r="3248" spans="1:3" x14ac:dyDescent="0.25">
      <c r="A3248" t="e" vm="119">
        <f>_FV(0,"934")</f>
        <v>#VALUE!</v>
      </c>
      <c r="B3248">
        <f>0.187</f>
        <v>0.187</v>
      </c>
      <c r="C3248" s="1">
        <v>7250</v>
      </c>
    </row>
    <row r="3249" spans="1:3" x14ac:dyDescent="0.25">
      <c r="A3249" t="e" vm="120">
        <f>_FV(0,"873")</f>
        <v>#VALUE!</v>
      </c>
      <c r="B3249">
        <f>0.379</f>
        <v>0.379</v>
      </c>
      <c r="C3249" s="1">
        <v>7250</v>
      </c>
    </row>
    <row r="3250" spans="1:3" x14ac:dyDescent="0.25">
      <c r="A3250" t="e" vm="121">
        <f>_FV(0,"778")</f>
        <v>#VALUE!</v>
      </c>
      <c r="B3250">
        <f>0.549</f>
        <v>0.54900000000000004</v>
      </c>
      <c r="C3250" s="1">
        <v>7250</v>
      </c>
    </row>
    <row r="3251" spans="1:3" x14ac:dyDescent="0.25">
      <c r="A3251" t="e" vm="30">
        <f>_FV(0,"65")</f>
        <v>#VALUE!</v>
      </c>
      <c r="B3251">
        <f>0.696</f>
        <v>0.69599999999999995</v>
      </c>
      <c r="C3251" s="1">
        <v>7250</v>
      </c>
    </row>
    <row r="3252" spans="1:3" x14ac:dyDescent="0.25">
      <c r="A3252" t="e" vm="122">
        <f>_FV(0,"495")</f>
        <v>#VALUE!</v>
      </c>
      <c r="B3252">
        <f>0.813</f>
        <v>0.81299999999999994</v>
      </c>
      <c r="C3252" s="1">
        <v>7250</v>
      </c>
    </row>
    <row r="3253" spans="1:3" x14ac:dyDescent="0.25">
      <c r="A3253" t="e" vm="123">
        <f>_FV(0,"319")</f>
        <v>#VALUE!</v>
      </c>
      <c r="B3253">
        <f>0.897</f>
        <v>0.89700000000000002</v>
      </c>
      <c r="C3253" s="1">
        <v>7250</v>
      </c>
    </row>
    <row r="3254" spans="1:3" x14ac:dyDescent="0.25">
      <c r="A3254" t="e" vm="124">
        <f>_FV(0,"127")</f>
        <v>#VALUE!</v>
      </c>
      <c r="B3254">
        <f>0.943</f>
        <v>0.94299999999999995</v>
      </c>
      <c r="C3254" s="1">
        <v>7250</v>
      </c>
    </row>
    <row r="3255" spans="1:3" x14ac:dyDescent="0.25">
      <c r="A3255" t="s">
        <v>166</v>
      </c>
      <c r="B3255">
        <f>0.951</f>
        <v>0.95099999999999996</v>
      </c>
      <c r="C3255" s="1">
        <v>7250</v>
      </c>
    </row>
    <row r="3256" spans="1:3" x14ac:dyDescent="0.25">
      <c r="A3256" t="s">
        <v>173</v>
      </c>
      <c r="B3256">
        <f>0.933</f>
        <v>0.93300000000000005</v>
      </c>
      <c r="C3256" s="1">
        <v>7250</v>
      </c>
    </row>
    <row r="3257" spans="1:3" x14ac:dyDescent="0.25">
      <c r="A3257" t="s">
        <v>151</v>
      </c>
      <c r="B3257">
        <f>0.873</f>
        <v>0.873</v>
      </c>
      <c r="C3257" s="1">
        <v>7250</v>
      </c>
    </row>
    <row r="3258" spans="1:3" x14ac:dyDescent="0.25">
      <c r="A3258" t="s">
        <v>4</v>
      </c>
      <c r="B3258">
        <f>0.778</f>
        <v>0.77800000000000002</v>
      </c>
      <c r="C3258" s="1">
        <v>7250</v>
      </c>
    </row>
    <row r="3259" spans="1:3" x14ac:dyDescent="0.25">
      <c r="A3259" t="s">
        <v>98</v>
      </c>
      <c r="B3259">
        <f>0.65</f>
        <v>0.65</v>
      </c>
      <c r="C3259" s="1">
        <v>7250</v>
      </c>
    </row>
    <row r="3260" spans="1:3" x14ac:dyDescent="0.25">
      <c r="A3260" t="s">
        <v>152</v>
      </c>
      <c r="B3260">
        <f>0.495</f>
        <v>0.495</v>
      </c>
      <c r="C3260" s="1">
        <v>7250</v>
      </c>
    </row>
    <row r="3261" spans="1:3" x14ac:dyDescent="0.25">
      <c r="A3261" t="s">
        <v>153</v>
      </c>
      <c r="B3261">
        <f>0.319</f>
        <v>0.31900000000000001</v>
      </c>
      <c r="C3261" s="1">
        <v>7250</v>
      </c>
    </row>
    <row r="3262" spans="1:3" x14ac:dyDescent="0.25">
      <c r="A3262" t="s">
        <v>154</v>
      </c>
      <c r="B3262">
        <f>0.13</f>
        <v>0.13</v>
      </c>
      <c r="C3262" s="1">
        <v>7250</v>
      </c>
    </row>
    <row r="3263" spans="1:3" x14ac:dyDescent="0.25">
      <c r="A3263" t="s">
        <v>174</v>
      </c>
      <c r="B3263">
        <v>6.7000000000000004E-2</v>
      </c>
      <c r="C3263" s="1">
        <v>7250</v>
      </c>
    </row>
    <row r="3264" spans="1:3" x14ac:dyDescent="0.25">
      <c r="A3264" t="s">
        <v>8</v>
      </c>
      <c r="B3264">
        <v>0.23200000000000001</v>
      </c>
      <c r="C3264" s="1">
        <v>7250</v>
      </c>
    </row>
    <row r="3265" spans="1:3" x14ac:dyDescent="0.25">
      <c r="A3265" t="s">
        <v>5</v>
      </c>
      <c r="B3265">
        <v>0.376</v>
      </c>
      <c r="C3265" s="1">
        <v>7250</v>
      </c>
    </row>
    <row r="3266" spans="1:3" x14ac:dyDescent="0.25">
      <c r="A3266" t="s">
        <v>47</v>
      </c>
      <c r="B3266">
        <v>0.54900000000000004</v>
      </c>
      <c r="C3266" s="1">
        <v>7250</v>
      </c>
    </row>
    <row r="3267" spans="1:3" x14ac:dyDescent="0.25">
      <c r="A3267" t="s">
        <v>175</v>
      </c>
      <c r="B3267">
        <v>0.69599999999999995</v>
      </c>
      <c r="C3267" s="1">
        <v>7250</v>
      </c>
    </row>
    <row r="3268" spans="1:3" x14ac:dyDescent="0.25">
      <c r="A3268" t="s">
        <v>22</v>
      </c>
      <c r="B3268">
        <v>0.81299999999999994</v>
      </c>
      <c r="C3268" s="1">
        <v>7250</v>
      </c>
    </row>
    <row r="3269" spans="1:3" x14ac:dyDescent="0.25">
      <c r="A3269" t="s">
        <v>150</v>
      </c>
      <c r="B3269">
        <v>0.89700000000000002</v>
      </c>
      <c r="C3269" s="1">
        <v>7250</v>
      </c>
    </row>
    <row r="3270" spans="1:3" x14ac:dyDescent="0.25">
      <c r="A3270" t="s">
        <v>176</v>
      </c>
      <c r="B3270">
        <v>0.94299999999999995</v>
      </c>
      <c r="C3270" s="1">
        <v>7250</v>
      </c>
    </row>
    <row r="3271" spans="1:3" x14ac:dyDescent="0.25">
      <c r="A3271" t="e" vm="125">
        <f>_FV(0,"114")</f>
        <v>#VALUE!</v>
      </c>
      <c r="B3271">
        <v>0.94199999999999995</v>
      </c>
      <c r="C3271" s="1">
        <v>7250</v>
      </c>
    </row>
    <row r="3272" spans="1:3" x14ac:dyDescent="0.25">
      <c r="A3272" t="e" vm="126">
        <f>_FV(0,"276")</f>
        <v>#VALUE!</v>
      </c>
      <c r="B3272">
        <v>0.77700000000000002</v>
      </c>
      <c r="C3272" s="1">
        <v>7250</v>
      </c>
    </row>
    <row r="3273" spans="1:3" x14ac:dyDescent="0.25">
      <c r="A3273" t="e" vm="126">
        <f>_FV(0,"276")</f>
        <v>#VALUE!</v>
      </c>
      <c r="B3273">
        <v>0.77700000000000002</v>
      </c>
      <c r="C3273" s="1">
        <v>7550</v>
      </c>
    </row>
    <row r="3274" spans="1:3" x14ac:dyDescent="0.25">
      <c r="A3274" t="e" vm="127">
        <f>_FV(0,"104")</f>
        <v>#VALUE!</v>
      </c>
      <c r="B3274">
        <v>0.28000000000000003</v>
      </c>
      <c r="C3274" s="1">
        <v>7550</v>
      </c>
    </row>
    <row r="3275" spans="1:3" x14ac:dyDescent="0.25">
      <c r="A3275" t="e" vm="111">
        <f>_FV(0,"241")</f>
        <v>#VALUE!</v>
      </c>
      <c r="B3275">
        <v>0.17799999999999999</v>
      </c>
      <c r="C3275" s="1">
        <v>7550</v>
      </c>
    </row>
    <row r="3276" spans="1:3" x14ac:dyDescent="0.25">
      <c r="A3276" t="e" vm="128">
        <f>_FV(0,"278")</f>
        <v>#VALUE!</v>
      </c>
      <c r="B3276">
        <v>9.9000000000000005E-2</v>
      </c>
      <c r="C3276" s="1">
        <v>7550</v>
      </c>
    </row>
    <row r="3277" spans="1:3" x14ac:dyDescent="0.25">
      <c r="A3277" t="e" vm="129">
        <f>_FV(0,"295")</f>
        <v>#VALUE!</v>
      </c>
      <c r="B3277">
        <f>0.02</f>
        <v>0.02</v>
      </c>
      <c r="C3277" s="1">
        <v>7550</v>
      </c>
    </row>
    <row r="3278" spans="1:3" x14ac:dyDescent="0.25">
      <c r="A3278" t="e" vm="130">
        <f>_FV(0,"28")</f>
        <v>#VALUE!</v>
      </c>
      <c r="B3278">
        <f>0.107</f>
        <v>0.107</v>
      </c>
      <c r="C3278" s="1">
        <v>7550</v>
      </c>
    </row>
    <row r="3279" spans="1:3" x14ac:dyDescent="0.25">
      <c r="A3279" t="e" vm="131">
        <f>_FV(0,"178")</f>
        <v>#VALUE!</v>
      </c>
      <c r="B3279">
        <f>0.241</f>
        <v>0.24099999999999999</v>
      </c>
      <c r="C3279" s="1">
        <v>7550</v>
      </c>
    </row>
    <row r="3280" spans="1:3" x14ac:dyDescent="0.25">
      <c r="A3280" t="e" vm="132">
        <f>_FV(0,"017")</f>
        <v>#VALUE!</v>
      </c>
      <c r="B3280">
        <f>0.298</f>
        <v>0.29799999999999999</v>
      </c>
      <c r="C3280" s="1">
        <v>7550</v>
      </c>
    </row>
    <row r="3281" spans="1:3" x14ac:dyDescent="0.25">
      <c r="A3281" t="s">
        <v>177</v>
      </c>
      <c r="B3281">
        <f>0.259</f>
        <v>0.25900000000000001</v>
      </c>
      <c r="C3281" s="1">
        <v>7550</v>
      </c>
    </row>
    <row r="3282" spans="1:3" x14ac:dyDescent="0.25">
      <c r="A3282" t="s">
        <v>155</v>
      </c>
      <c r="B3282">
        <f>0.153</f>
        <v>0.153</v>
      </c>
      <c r="C3282" s="1">
        <v>7550</v>
      </c>
    </row>
    <row r="3283" spans="1:3" x14ac:dyDescent="0.25">
      <c r="A3283" t="s">
        <v>14</v>
      </c>
      <c r="B3283">
        <f>0.04</f>
        <v>0.04</v>
      </c>
      <c r="C3283" s="1">
        <v>7550</v>
      </c>
    </row>
    <row r="3284" spans="1:3" x14ac:dyDescent="0.25">
      <c r="A3284" t="s">
        <v>178</v>
      </c>
      <c r="B3284">
        <v>0.104</v>
      </c>
      <c r="C3284" s="1">
        <v>7550</v>
      </c>
    </row>
    <row r="3285" spans="1:3" x14ac:dyDescent="0.25">
      <c r="A3285" t="s">
        <v>122</v>
      </c>
      <c r="B3285">
        <v>0.24099999999999999</v>
      </c>
      <c r="C3285" s="1">
        <v>7550</v>
      </c>
    </row>
    <row r="3286" spans="1:3" x14ac:dyDescent="0.25">
      <c r="A3286" t="s">
        <v>31</v>
      </c>
      <c r="B3286">
        <v>0.29299999999999998</v>
      </c>
      <c r="C3286" s="1">
        <v>7550</v>
      </c>
    </row>
    <row r="3287" spans="1:3" x14ac:dyDescent="0.25">
      <c r="A3287" t="e" vm="127">
        <f>_FV(0,"104")</f>
        <v>#VALUE!</v>
      </c>
      <c r="B3287">
        <v>0.28000000000000003</v>
      </c>
      <c r="C3287" s="1">
        <v>7550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matamoros</dc:creator>
  <cp:lastModifiedBy>sebastian matamoros</cp:lastModifiedBy>
  <dcterms:created xsi:type="dcterms:W3CDTF">2019-06-05T14:29:10Z</dcterms:created>
  <dcterms:modified xsi:type="dcterms:W3CDTF">2019-06-05T15:54:56Z</dcterms:modified>
</cp:coreProperties>
</file>